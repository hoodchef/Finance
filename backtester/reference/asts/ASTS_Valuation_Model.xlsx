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Valuation_Summary" sheetId="2" state="visible" r:id="rId4"/>
    <sheet name="Inputs" sheetId="3" state="visible" r:id="rId5"/>
    <sheet name="Capital_Structure" sheetId="4" state="visible" r:id="rId6"/>
    <sheet name="WACC" sheetId="5" state="visible" r:id="rId7"/>
    <sheet name="Market_Data" sheetId="6" state="visible" r:id="rId8"/>
    <sheet name="Calc_Base" sheetId="7" state="visible" r:id="rId9"/>
    <sheet name="Calc_Bear" sheetId="8" state="visible" r:id="rId10"/>
    <sheet name="Calc_Bull" sheetId="9" state="visible" r:id="rId11"/>
    <sheet name="Calc_Distress" sheetId="10" state="visible" r:id="rId12"/>
    <sheet name="Sensitivity" sheetId="11" state="visible" r:id="rId13"/>
    <sheet name="Monte_Carlo" sheetId="12" state="visible" r:id="rId14"/>
    <sheet name="Risk" sheetId="13" state="visible" r:id="rId15"/>
    <sheet name="Checks" sheetId="14" state="visible" r:id="rId16"/>
    <sheet name="Review_Log" sheetId="15" state="visible" r:id="rId17"/>
    <sheet name="Sources" sheetId="16" state="visible" r:id="rId18"/>
    <sheet name="Note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<sst xmlns="http://schemas.openxmlformats.org/spreadsheetml/2006/main" count="2058" uniqueCount="1154">
  <si>
    <t xml:space="preserve">AST SPACEMOBILE (NASDAQ: ASTS) - INTRINSIC VALUATION MODEL</t>
  </si>
  <si>
    <t xml:space="preserve">Valuation date 10-Sep-2026. USD. Balance sheet 30-Jun-2026 pro forma Jul-2026 convertible. Live links unless marked 'stamped'.</t>
  </si>
  <si>
    <t xml:space="preserve">MODEL STATUS</t>
  </si>
  <si>
    <t xml:space="preserve">Headline</t>
  </si>
  <si>
    <t xml:space="preserve">Current share price (IBKR)</t>
  </si>
  <si>
    <t xml:space="preserve">Probability-weighted intrinsic value</t>
  </si>
  <si>
    <t xml:space="preserve">Upside / (downside) vs price</t>
  </si>
  <si>
    <t xml:space="preserve">Monte Carlo mean (stamped)</t>
  </si>
  <si>
    <t xml:space="preserve">Monte Carlo P10 - P90 (stamped)</t>
  </si>
  <si>
    <t xml:space="preserve">P(intrinsic value &gt; price) (stamped)</t>
  </si>
  <si>
    <t xml:space="preserve">Model-implied expected return p.a., 3-yr (prob-weighted)</t>
  </si>
  <si>
    <t xml:space="preserve">Model-implied expected return p.a., 3-yr (MC mean)</t>
  </si>
  <si>
    <t xml:space="preserve">Realised volatility (annualised)</t>
  </si>
  <si>
    <t xml:space="preserve">Growth-phase WACC / terminal WACC</t>
  </si>
  <si>
    <t xml:space="preserve">Market-implied Base Tier-1 take rate (stamped reverse DCF)</t>
  </si>
  <si>
    <t xml:space="preserve">Scenarios (live)</t>
  </si>
  <si>
    <t xml:space="preserve">Distress</t>
  </si>
  <si>
    <t xml:space="preserve">Bear</t>
  </si>
  <si>
    <t xml:space="preserve">Base</t>
  </si>
  <si>
    <t xml:space="preserve">Bull</t>
  </si>
  <si>
    <t xml:space="preserve">Weighted</t>
  </si>
  <si>
    <t xml:space="preserve">Probability</t>
  </si>
  <si>
    <t xml:space="preserve">Value per share ($)</t>
  </si>
  <si>
    <t xml:space="preserve">Enterprise value ($mm)</t>
  </si>
  <si>
    <t xml:space="preserve">Revenue 2030 ($mm)</t>
  </si>
  <si>
    <t xml:space="preserve">Revenue 2035 ($mm)</t>
  </si>
  <si>
    <t xml:space="preserve">EBITDA margin 2040</t>
  </si>
  <si>
    <t xml:space="preserve">Peak funding need ($mm)</t>
  </si>
  <si>
    <t xml:space="preserve">For the portfolio analysis</t>
  </si>
  <si>
    <t xml:space="preserve">The earlier portfolio work used a 12% expected return for ASTS as an explicit placeholder guess.</t>
  </si>
  <si>
    <t xml:space="preserve">This model replaces it with the model-implied figures above: expected return and volatility for the ASTS sleeve.</t>
  </si>
  <si>
    <t xml:space="preserve">Interpretation: at today's price the market is paying roughly for Base-case execution; the payoff is highly skewed</t>
  </si>
  <si>
    <t xml:space="preserve">(meaningful probability of ~zero equity value, long right tail). Not investment advice.</t>
  </si>
  <si>
    <t xml:space="preserve">VALUATION SUMMARY</t>
  </si>
  <si>
    <t xml:space="preserve">Probability-weighted DCF across four scenarios (all live). USD.</t>
  </si>
  <si>
    <t xml:space="preserve">Metric</t>
  </si>
  <si>
    <t xml:space="preserve">Prob-weighted</t>
  </si>
  <si>
    <t xml:space="preserve">PV of terminal value ($mm)</t>
  </si>
  <si>
    <t xml:space="preserve">Terminal value % of EV</t>
  </si>
  <si>
    <t xml:space="preserve">Equity before conversions ($mm)</t>
  </si>
  <si>
    <t xml:space="preserve">Diluted shares (mm)</t>
  </si>
  <si>
    <t xml:space="preserve">Upside vs price</t>
  </si>
  <si>
    <t xml:space="preserve">Implied terminal EV/EBITDA</t>
  </si>
  <si>
    <t xml:space="preserve">Peak funding need, cumulative FCFF ($mm)</t>
  </si>
  <si>
    <t xml:space="preserve">Max paying users per satellite (mm)</t>
  </si>
  <si>
    <t xml:space="preserve">FY2026 revenue ($mm)</t>
  </si>
  <si>
    <t xml:space="preserve">Current share price ($, IBKR)</t>
  </si>
  <si>
    <t xml:space="preserve">Probability-weighted upside / (downside)</t>
  </si>
  <si>
    <t xml:space="preserve">Growth-phase cost of equity (Ke)</t>
  </si>
  <si>
    <t xml:space="preserve">Model-implied expected return p.a. if price converges to value in 3 yrs</t>
  </si>
  <si>
    <t xml:space="preserve">E[R] = (V x (1+Ke)^H / P)^(1/H) - 1. Replaces the 12% placeholder in the portfolio analysis.</t>
  </si>
  <si>
    <t xml:space="preserve">Model-implied expected return p.a. if price converges to value in 5 yrs</t>
  </si>
  <si>
    <t xml:space="preserve">Market-implied EV ($mm)</t>
  </si>
  <si>
    <t xml:space="preserve">Base-case EV / market-implied EV</t>
  </si>
  <si>
    <t xml:space="preserve">INPUTS &amp; ASSUMPTIONS</t>
  </si>
  <si>
    <t xml:space="preserve">Blue = hard-coded input (edit here only). Yellow = key value driver. Every formula in the model references this sheet. Units in column C. $mm unless stated.</t>
  </si>
  <si>
    <t xml:space="preserve">Key</t>
  </si>
  <si>
    <t xml:space="preserve">Global parameter</t>
  </si>
  <si>
    <t xml:space="preserve">Unit</t>
  </si>
  <si>
    <t xml:space="preserve">Value</t>
  </si>
  <si>
    <t xml:space="preserve">Source / rationale</t>
  </si>
  <si>
    <t xml:space="preserve">VALUATION &amp; MARKET</t>
  </si>
  <si>
    <t xml:space="preserve">val_date</t>
  </si>
  <si>
    <t xml:space="preserve">Valuation date (year fraction)</t>
  </si>
  <si>
    <t xml:space="preserve">yr</t>
  </si>
  <si>
    <t xml:space="preserve">DATA: 10-Sep-2026 = 2026 + 252/365.</t>
  </si>
  <si>
    <t xml:space="preserve">rf</t>
  </si>
  <si>
    <t xml:space="preserve">Risk-free rate (10y UST)</t>
  </si>
  <si>
    <t xml:space="preserve">%</t>
  </si>
  <si>
    <t xml:space="preserve">DATA: 10y UST 4.84% on 10-Sep-2026 (TradingEconomics / CNBC).</t>
  </si>
  <si>
    <t xml:space="preserve">erp</t>
  </si>
  <si>
    <t xml:space="preserve">Equity risk premium (US implied)</t>
  </si>
  <si>
    <t xml:space="preserve">DATA: Damodaran implied US ERP 4.42% at 1-Jul-2026 (Musings on Markets, Jul-2026).</t>
  </si>
  <si>
    <t xml:space="preserve">blume_w</t>
  </si>
  <si>
    <t xml:space="preserve">Blume weight on raw beta</t>
  </si>
  <si>
    <t xml:space="preserve">x</t>
  </si>
  <si>
    <t xml:space="preserve">METHOD: Blume (1971) adjustment beta_adj = 0.67*raw + 0.33. Resolution R-01.</t>
  </si>
  <si>
    <t xml:space="preserve">dv_hi</t>
  </si>
  <si>
    <t xml:space="preserve">Debt / capital - growth phase</t>
  </si>
  <si>
    <t xml:space="preserve">DATA-DERIVED: ~$4.2bn debt face vs ~$24.3bn equity mkt cap (Sep-2026) = 14.6%.</t>
  </si>
  <si>
    <t xml:space="preserve">kd_hi</t>
  </si>
  <si>
    <t xml:space="preserve">Pre-tax cost of straight debt - growth phase</t>
  </si>
  <si>
    <t xml:space="preserve">ASSUMPTION: unrated issuer; straight-bond yield ~Rf+4.7%. Converts' coupons understate cost (embedded option).</t>
  </si>
  <si>
    <t xml:space="preserve">t_hi</t>
  </si>
  <si>
    <t xml:space="preserve">Tax rate in WACC - growth phase</t>
  </si>
  <si>
    <t xml:space="preserve">LOGIC: no cash taxes paid while loss-making (NOLs/bonus depreciation) -&gt; no interest tax shield.</t>
  </si>
  <si>
    <t xml:space="preserve">beta_term</t>
  </si>
  <si>
    <t xml:space="preserve">Beta - mature phase</t>
  </si>
  <si>
    <t xml:space="preserve">ASSUMPTION: mature satellite operator converges to market beta (Damodaran young-firm lifecycle method).</t>
  </si>
  <si>
    <t xml:space="preserve">dv_term</t>
  </si>
  <si>
    <t xml:space="preserve">Debt / capital - mature phase</t>
  </si>
  <si>
    <t xml:space="preserve">ASSUMPTION: mature telecom-like leverage.</t>
  </si>
  <si>
    <t xml:space="preserve">kd_term</t>
  </si>
  <si>
    <t xml:space="preserve">Pre-tax cost of debt - mature phase</t>
  </si>
  <si>
    <t xml:space="preserve">ASSUMPTION: BB-area mature issuer.</t>
  </si>
  <si>
    <t xml:space="preserve">t_term</t>
  </si>
  <si>
    <t xml:space="preserve">Tax rate in WACC - mature phase</t>
  </si>
  <si>
    <t xml:space="preserve">Equals cash tax rate.</t>
  </si>
  <si>
    <t xml:space="preserve">wacc_fade_start</t>
  </si>
  <si>
    <t xml:space="preserve">WACC fade start year</t>
  </si>
  <si>
    <t xml:space="preserve">ASSUMPTION: fade begins after build-out.</t>
  </si>
  <si>
    <t xml:space="preserve">wacc_fade_end</t>
  </si>
  <si>
    <t xml:space="preserve">WACC fade end year (mature from)</t>
  </si>
  <si>
    <t xml:space="preserve">ASSUMPTION.</t>
  </si>
  <si>
    <t xml:space="preserve">wacc_shift</t>
  </si>
  <si>
    <t xml:space="preserve">WACC what-if shift (keep 0 for base valuation)</t>
  </si>
  <si>
    <t xml:space="preserve">LEVER: parallel shift to every period's WACC. Checked = 0 in delivered file.</t>
  </si>
  <si>
    <t xml:space="preserve">g</t>
  </si>
  <si>
    <t xml:space="preserve">Terminal growth (nominal)</t>
  </si>
  <si>
    <t xml:space="preserve">ASSUMPTION: &lt;= long-run nominal GDP and &lt; Rf (checked).</t>
  </si>
  <si>
    <t xml:space="preserve">OPERATIONS (all scenarios)</t>
  </si>
  <si>
    <t xml:space="preserve">tax_rate</t>
  </si>
  <si>
    <t xml:space="preserve">Cash tax rate (fed 21% + state)</t>
  </si>
  <si>
    <t xml:space="preserve">ASSUMPTION: 21% federal + ~4% blended state.</t>
  </si>
  <si>
    <t xml:space="preserve">nol_open</t>
  </si>
  <si>
    <t xml:space="preserve">Opening tax NOL pool (30-Jun-2026)</t>
  </si>
  <si>
    <t xml:space="preserve">$mm</t>
  </si>
  <si>
    <t xml:space="preserve">ASSUMPTION (flagged): accumulated deficit $1,253.6mm (10-Q) includes non-deductible items; haircut to $1.0bn.</t>
  </si>
  <si>
    <t xml:space="preserve">nol_limit</t>
  </si>
  <si>
    <t xml:space="preserve">NOL usage cap (% of taxable income)</t>
  </si>
  <si>
    <t xml:space="preserve">LAW: post-TCJA federal 80% limitation.</t>
  </si>
  <si>
    <t xml:space="preserve">bonus_dep</t>
  </si>
  <si>
    <t xml:space="preserve">100% bonus depreciation on capex (1=on)</t>
  </si>
  <si>
    <t xml:space="preserve">flag</t>
  </si>
  <si>
    <t xml:space="preserve">LAW: OBBBA (Jul-2025) permanently restored 100% bonus depreciation. Verify with tax adviser.</t>
  </si>
  <si>
    <t xml:space="preserve">sat_life</t>
  </si>
  <si>
    <t xml:space="preserve">Block 2 satellite design life</t>
  </si>
  <si>
    <t xml:space="preserve">yrs</t>
  </si>
  <si>
    <t xml:space="preserve">SECONDARY DATA: 7-yr lifetime per Gunter's Space Page (BlueBird Block 2). Flagged for confirmation.</t>
  </si>
  <si>
    <t xml:space="preserve">loss_rate</t>
  </si>
  <si>
    <t xml:space="preserve">Launch / early-life loss rate</t>
  </si>
  <si>
    <t xml:space="preserve">ASSUMPTION: 1 of 8 Block 2 lost (BB7, Apr-2026) = 12.5% observed; industry mature ~3-5%.</t>
  </si>
  <si>
    <t xml:space="preserve">fleet_open</t>
  </si>
  <si>
    <t xml:space="preserve">Block 2 satellites launched at 30-Jun-2026</t>
  </si>
  <si>
    <t xml:space="preserve">#</t>
  </si>
  <si>
    <t xml:space="preserve">DATA: BB6 (Dec-2025) + BB8-10 (17-Jun-2026). BB7 lost. (10-Q Note 1)</t>
  </si>
  <si>
    <t xml:space="preserve">cip_sat</t>
  </si>
  <si>
    <t xml:space="preserve">Satellite CIP / advance launch payments 30-Jun-2026</t>
  </si>
  <si>
    <t xml:space="preserve">DATA: 10-Q Note 4, 'Satellite materials ... advance launch payments'.</t>
  </si>
  <si>
    <t xml:space="preserve">partner_subs</t>
  </si>
  <si>
    <t xml:space="preserve">MNO partner subscriber base</t>
  </si>
  <si>
    <t xml:space="preserve">mm</t>
  </si>
  <si>
    <t xml:space="preserve">DATA: company - 60+ MNO partners covering 'over 3 billion' subscribers (Q2-26 deck).</t>
  </si>
  <si>
    <t xml:space="preserve">t1_share</t>
  </si>
  <si>
    <t xml:space="preserve">Share of partner base in Tier-1 (developed) markets</t>
  </si>
  <si>
    <t xml:space="preserve">ASSUMPTION: US/Canada/Europe/Japan/Gulf partners ~ 750mm of 3bn.</t>
  </si>
  <si>
    <t xml:space="preserve">s0_t1</t>
  </si>
  <si>
    <t xml:space="preserve">Tier-1 coverage starts at fleet of</t>
  </si>
  <si>
    <t xml:space="preserve">ASSUMPTION: intermittent service below ~20.</t>
  </si>
  <si>
    <t xml:space="preserve">sf_t1</t>
  </si>
  <si>
    <t xml:space="preserve">Tier-1 continuous coverage at fleet of</t>
  </si>
  <si>
    <t xml:space="preserve">DATA: mgmt '~45-60 BlueBirds' for continuous US/Europe/Japan service (Q2-26 call); upper end used.</t>
  </si>
  <si>
    <t xml:space="preserve">s0_t2</t>
  </si>
  <si>
    <t xml:space="preserve">Tier-2 coverage starts at fleet of</t>
  </si>
  <si>
    <t xml:space="preserve">sf_t2</t>
  </si>
  <si>
    <t xml:space="preserve">Tier-2 (global) coverage at fleet of</t>
  </si>
  <si>
    <t xml:space="preserve">DATA: CFO cost guidance references 'constellation of over 90 Block 2' (Q1/Q2-26 calls).</t>
  </si>
  <si>
    <t xml:space="preserve">h1_rev</t>
  </si>
  <si>
    <t xml:space="preserve">H1-2026 actual revenue</t>
  </si>
  <si>
    <t xml:space="preserve">DATA: 10-Q six months to 30-Jun-2026.</t>
  </si>
  <si>
    <t xml:space="preserve">guide_lo</t>
  </si>
  <si>
    <t xml:space="preserve">FY2026 revenue guidance - low</t>
  </si>
  <si>
    <t xml:space="preserve">DATA: Q2-26 business update.</t>
  </si>
  <si>
    <t xml:space="preserve">guide_hi</t>
  </si>
  <si>
    <t xml:space="preserve">FY2026 revenue guidance - high</t>
  </si>
  <si>
    <t xml:space="preserve">contract_liab</t>
  </si>
  <si>
    <t xml:space="preserve">Contract liabilities (cash already received)</t>
  </si>
  <si>
    <t xml:space="preserve">DATA: 10-Q $14.840mm current + $252.093mm non-current.</t>
  </si>
  <si>
    <t xml:space="preserve">cl_unwind_start</t>
  </si>
  <si>
    <t xml:space="preserve">Contract-liability unwind start year</t>
  </si>
  <si>
    <t xml:space="preserve">ASSUMPTION: as service begins.</t>
  </si>
  <si>
    <t xml:space="preserve">cl_unwind_yrs</t>
  </si>
  <si>
    <t xml:space="preserve">Contract-liability unwind years</t>
  </si>
  <si>
    <t xml:space="preserve">nwc_pct</t>
  </si>
  <si>
    <t xml:space="preserve">Net working capital % of annualised revenue</t>
  </si>
  <si>
    <t xml:space="preserve">ASSUMPTION: 60-90 day terms (10-Q) net of payables.</t>
  </si>
  <si>
    <t xml:space="preserve">h1_ann_rev</t>
  </si>
  <si>
    <t xml:space="preserve">Annualised revenue, H1-2026 (NWC base)</t>
  </si>
  <si>
    <t xml:space="preserve">DATA-DERIVED: 2 x H1 revenue.</t>
  </si>
  <si>
    <t xml:space="preserve">ligado_pay</t>
  </si>
  <si>
    <t xml:space="preserve">Ligado spectrum closing payment</t>
  </si>
  <si>
    <t xml:space="preserve">DATA: 10-K FY25 - $550mm contingent payment at closing (regulatory approval pending).</t>
  </si>
  <si>
    <t xml:space="preserve">ligado_year</t>
  </si>
  <si>
    <t xml:space="preserve">Ligado closing year</t>
  </si>
  <si>
    <t xml:space="preserve">ASSUMPTION: FCC application pending since Jan-2026.</t>
  </si>
  <si>
    <t xml:space="preserve">spec_fee</t>
  </si>
  <si>
    <t xml:space="preserve">Annual spectrum usage payments (from closing)</t>
  </si>
  <si>
    <t xml:space="preserve">DATA+ASSUMPTION: L-band &gt;= $80mm/yr (10-K) + ~$20mm est. 1670-1675 MHz (Crown Castle) fee.</t>
  </si>
  <si>
    <t xml:space="preserve">ligado_share</t>
  </si>
  <si>
    <t xml:space="preserve">Ligado revenue share (% Tier-1 service revenue)</t>
  </si>
  <si>
    <t xml:space="preserve">ASSUMPTION (flagged, unverified): 'long-term net revenue sharing rights' - % not disclosed.</t>
  </si>
  <si>
    <t xml:space="preserve">net_opex_sat</t>
  </si>
  <si>
    <t xml:space="preserve">Network/ground/insurance opex per in-orbit satellite</t>
  </si>
  <si>
    <t xml:space="preserve">$mm/yr</t>
  </si>
  <si>
    <t xml:space="preserve">ASSUMPTION (Agent 3 finding A3-02): ground segment, TT&amp;C and in-orbit insurance scale with fleet.</t>
  </si>
  <si>
    <t xml:space="preserve">px_end</t>
  </si>
  <si>
    <t xml:space="preserve">Last year of competitive ARPU repricing</t>
  </si>
  <si>
    <t xml:space="preserve">ASSUMPTION (A3-01): repricing phase ends; ARPU then tracks long-run growth.</t>
  </si>
  <si>
    <t xml:space="preserve">arpu_lr_g</t>
  </si>
  <si>
    <t xml:space="preserve">Long-run ARPU growth (after repricing phase)</t>
  </si>
  <si>
    <t xml:space="preserve">ASSUMPTION (A3-01): below CPI - D2D remains a competitive add-on.</t>
  </si>
  <si>
    <t xml:space="preserve">sub_g</t>
  </si>
  <si>
    <t xml:space="preserve">Partner subscriber base growth (from 2027)</t>
  </si>
  <si>
    <t xml:space="preserve">ASSUMPTION (A3-01): population growth + incremental MNO partners.</t>
  </si>
  <si>
    <t xml:space="preserve">prod_margin</t>
  </si>
  <si>
    <t xml:space="preserve">Gateway/product gross margin</t>
  </si>
  <si>
    <t xml:space="preserve">DATA-DERIVED: Q2-26 product rev $24.4mm vs COGS $24.1mm.</t>
  </si>
  <si>
    <t xml:space="preserve">gov_cogs</t>
  </si>
  <si>
    <t xml:space="preserve">Government revenue COGS %</t>
  </si>
  <si>
    <t xml:space="preserve">ASSUMPTION: Q2-26 services COGS 16%; normalised higher at scale.</t>
  </si>
  <si>
    <t xml:space="preserve">Scenario parameter</t>
  </si>
  <si>
    <t xml:space="preserve">SCENARIO PROBABILITIES</t>
  </si>
  <si>
    <t xml:space="preserve">prob</t>
  </si>
  <si>
    <t xml:space="preserve">Scenario probability</t>
  </si>
  <si>
    <t xml:space="preserve">ASSUMPTION: Distress reflects failure-to-scale/competitive loss; must sum to 100% (checked).</t>
  </si>
  <si>
    <t xml:space="preserve">CONSTELLATION DEPLOYMENT (Block 2 in orbit, end of period)</t>
  </si>
  <si>
    <t xml:space="preserve">fl_26</t>
  </si>
  <si>
    <t xml:space="preserve">Fleet end-2026</t>
  </si>
  <si>
    <t xml:space="preserve">DATA anchor: 7 in orbit Aug-2026; mgmt target ~45 in early 2027. Base haircuts for BB7 loss / slip history.</t>
  </si>
  <si>
    <t xml:space="preserve">fl_27</t>
  </si>
  <si>
    <t xml:space="preserve">Fleet end-2027</t>
  </si>
  <si>
    <t xml:space="preserve">fl_28</t>
  </si>
  <si>
    <t xml:space="preserve">Fleet end-2028</t>
  </si>
  <si>
    <t xml:space="preserve">fl_29</t>
  </si>
  <si>
    <t xml:space="preserve">Fleet end-2029</t>
  </si>
  <si>
    <t xml:space="preserve">fl_ss</t>
  </si>
  <si>
    <t xml:space="preserve">Steady-state fleet (2030+)</t>
  </si>
  <si>
    <t xml:space="preserve">ASSUMPTION: Distress = cannot fund beyond ~45.</t>
  </si>
  <si>
    <t xml:space="preserve">unit_cost</t>
  </si>
  <si>
    <t xml:space="preserve">Satellite cost incl. launch</t>
  </si>
  <si>
    <t xml:space="preserve">DATA: mgmt $21-23mm/sat incl. direct materials &amp; launch (Q2-26 call). Bear/Distress = overrun.</t>
  </si>
  <si>
    <t xml:space="preserve">unit_infl</t>
  </si>
  <si>
    <t xml:space="preserve">Unit cost inflation after 2028</t>
  </si>
  <si>
    <t xml:space="preserve">cip_credit</t>
  </si>
  <si>
    <t xml:space="preserve">Share of satellite CIP that pre-funds future launches</t>
  </si>
  <si>
    <t xml:space="preserve">ASSUMPTION (Tier-1 sensitivity): CIP also holds NRE, early-unit overruns, later-year launch deposits. R-04.</t>
  </si>
  <si>
    <t xml:space="preserve">COMMERCIAL SERVICE (MNO wholesale revenue share)</t>
  </si>
  <si>
    <t xml:space="preserve">t1_start</t>
  </si>
  <si>
    <t xml:space="preserve">Tier-1 commercial service start year</t>
  </si>
  <si>
    <t xml:space="preserve">DATA anchor: beta service 2026 (Q2-26 deck); commercial thereafter.</t>
  </si>
  <si>
    <t xml:space="preserve">t2_start</t>
  </si>
  <si>
    <t xml:space="preserve">Tier-2 commercial service start year</t>
  </si>
  <si>
    <t xml:space="preserve">take_t1</t>
  </si>
  <si>
    <t xml:space="preserve">Tier-1 peak take rate (% covered partner subs)</t>
  </si>
  <si>
    <t xml:space="preserve">ASSUMPTION: incl. subs bundled in premium plans. Reverse-DCF solves market-implied value.</t>
  </si>
  <si>
    <t xml:space="preserve">take_t2</t>
  </si>
  <si>
    <t xml:space="preserve">Tier-2 peak take rate</t>
  </si>
  <si>
    <t xml:space="preserve">ramp</t>
  </si>
  <si>
    <t xml:space="preserve">Adoption ramp: years from 5% to 95% of peak</t>
  </si>
  <si>
    <t xml:space="preserve">ASSUMPTION (logistic).</t>
  </si>
  <si>
    <t xml:space="preserve">arpu_t1</t>
  </si>
  <si>
    <t xml:space="preserve">Tier-1 ASTS monthly ARPU (after MNO share)</t>
  </si>
  <si>
    <t xml:space="preserve">$/mo</t>
  </si>
  <si>
    <t xml:space="preserve">DATA anchor: T-Mobile/Starlink T-Satellite retail $10/mo; ~50/50 wholesale share -&gt; $5.</t>
  </si>
  <si>
    <t xml:space="preserve">arpu_t2</t>
  </si>
  <si>
    <t xml:space="preserve">Tier-2 ASTS monthly ARPU</t>
  </si>
  <si>
    <t xml:space="preserve">ASSUMPTION: emerging-market pricing.</t>
  </si>
  <si>
    <t xml:space="preserve">px_g</t>
  </si>
  <si>
    <t xml:space="preserve">Annual ARPU change (from 2027)</t>
  </si>
  <si>
    <t xml:space="preserve">ASSUMPTION: competitive pressure (Starlink D2C) vs inflation.</t>
  </si>
  <si>
    <t xml:space="preserve">var_cost</t>
  </si>
  <si>
    <t xml:space="preserve">Service variable cost % of service revenue</t>
  </si>
  <si>
    <t xml:space="preserve">GOVERNMENT &amp; PRODUCT REVENUE</t>
  </si>
  <si>
    <t xml:space="preserve">gov_26</t>
  </si>
  <si>
    <t xml:space="preserve">Government revenue 2026H2</t>
  </si>
  <si>
    <t xml:space="preserve">DATA anchor: &gt;$125mm USG awards; ~$100mm funded 2026-27 (Q2-26 call).</t>
  </si>
  <si>
    <t xml:space="preserve">gov_27</t>
  </si>
  <si>
    <t xml:space="preserve">Government revenue 2027</t>
  </si>
  <si>
    <t xml:space="preserve">gov_28</t>
  </si>
  <si>
    <t xml:space="preserve">Government revenue 2028</t>
  </si>
  <si>
    <t xml:space="preserve">gov_29</t>
  </si>
  <si>
    <t xml:space="preserve">Government revenue 2029</t>
  </si>
  <si>
    <t xml:space="preserve">gov_30</t>
  </si>
  <si>
    <t xml:space="preserve">Government revenue 2030</t>
  </si>
  <si>
    <t xml:space="preserve">gov_g</t>
  </si>
  <si>
    <t xml:space="preserve">Government revenue growth after 2030</t>
  </si>
  <si>
    <t xml:space="preserve">prod_26</t>
  </si>
  <si>
    <t xml:space="preserve">Gateway/product revenue 2026H2</t>
  </si>
  <si>
    <t xml:space="preserve">DATA-DERIVED: Base ties FY26 to guidance midpoint $175mm (H1 $46.3mm + H2).</t>
  </si>
  <si>
    <t xml:space="preserve">prod_27</t>
  </si>
  <si>
    <t xml:space="preserve">Gateway/product revenue 2027</t>
  </si>
  <si>
    <t xml:space="preserve">prod_28</t>
  </si>
  <si>
    <t xml:space="preserve">Gateway/product revenue 2028</t>
  </si>
  <si>
    <t xml:space="preserve">prod_ss</t>
  </si>
  <si>
    <t xml:space="preserve">Gateway/product revenue 2029+</t>
  </si>
  <si>
    <t xml:space="preserve">OPERATING COSTS (ex-D&amp;A)</t>
  </si>
  <si>
    <t xml:space="preserve">opex_26</t>
  </si>
  <si>
    <t xml:space="preserve">Fixed adj. opex (ex-COGS, ex-SBC) 2026H2</t>
  </si>
  <si>
    <t xml:space="preserve">DATA anchor: Q2-26 adj. opex ex-COGS $95.9mm/qtr, rising.</t>
  </si>
  <si>
    <t xml:space="preserve">opex_27</t>
  </si>
  <si>
    <t xml:space="preserve">Fixed adj. opex 2027</t>
  </si>
  <si>
    <t xml:space="preserve">opex_g28</t>
  </si>
  <si>
    <t xml:space="preserve">Fixed opex growth 2028</t>
  </si>
  <si>
    <t xml:space="preserve">opex_g29</t>
  </si>
  <si>
    <t xml:space="preserve">Fixed opex growth 2029</t>
  </si>
  <si>
    <t xml:space="preserve">opex_g30</t>
  </si>
  <si>
    <t xml:space="preserve">Fixed opex growth 2030</t>
  </si>
  <si>
    <t xml:space="preserve">opex_gss</t>
  </si>
  <si>
    <t xml:space="preserve">Fixed opex growth 2031+</t>
  </si>
  <si>
    <t xml:space="preserve">ASSUMPTION: ~inflation + 1%.</t>
  </si>
  <si>
    <t xml:space="preserve">sbc_26</t>
  </si>
  <si>
    <t xml:space="preserve">Stock-based comp 2026H2</t>
  </si>
  <si>
    <t xml:space="preserve">DATA anchor: Q2-26 SBC $63.5mm/qtr. Treated as a real cost (R-06).</t>
  </si>
  <si>
    <t xml:space="preserve">sbc_27</t>
  </si>
  <si>
    <t xml:space="preserve">Stock-based comp 2027</t>
  </si>
  <si>
    <t xml:space="preserve">sbc_decay</t>
  </si>
  <si>
    <t xml:space="preserve">SBC annual decline (absolute) after 2027</t>
  </si>
  <si>
    <t xml:space="preserve">sbc_floor</t>
  </si>
  <si>
    <t xml:space="preserve">SBC floor (% revenue)</t>
  </si>
  <si>
    <t xml:space="preserve">OTHER CAPEX &amp; NON-DILUTIVE FUNDING</t>
  </si>
  <si>
    <t xml:space="preserve">ocx_26</t>
  </si>
  <si>
    <t xml:space="preserve">Other capex (ground, facilities) 2026H2</t>
  </si>
  <si>
    <t xml:space="preserve">ocx_27</t>
  </si>
  <si>
    <t xml:space="preserve">Other capex 2027</t>
  </si>
  <si>
    <t xml:space="preserve">ocx_28</t>
  </si>
  <si>
    <t xml:space="preserve">Other capex 2028</t>
  </si>
  <si>
    <t xml:space="preserve">ocx_pct</t>
  </si>
  <si>
    <t xml:space="preserve">Other capex % revenue (2029+)</t>
  </si>
  <si>
    <t xml:space="preserve">ocx_floor</t>
  </si>
  <si>
    <t xml:space="preserve">Other capex floor (2029+)</t>
  </si>
  <si>
    <t xml:space="preserve">jleo</t>
  </si>
  <si>
    <t xml:space="preserve">J-LEO non-dilutive capital received (2028)</t>
  </si>
  <si>
    <t xml:space="preserve">DATA anchor: preliminary J-LEO selection, up to ~$1bn to Rakuten JV (Q2-26 deck). Bull only.</t>
  </si>
  <si>
    <t xml:space="preserve">Sum of scenario probabilities (must = 100%)</t>
  </si>
  <si>
    <t xml:space="preserve">CAPITAL STRUCTURE &amp; EQUITY BRIDGE INPUTS</t>
  </si>
  <si>
    <t xml:space="preserve">Balance sheet at 30-Jun-2026 (10-Q) pro forma for the Jul-2026 $1.15bn 2034 convertible. Share count at 6-Aug-2026. $mm; shares in mm unless stated.</t>
  </si>
  <si>
    <t xml:space="preserve">Share count (economic interests)</t>
  </si>
  <si>
    <t xml:space="preserve">Class</t>
  </si>
  <si>
    <t xml:space="preserve">Shares</t>
  </si>
  <si>
    <t xml:space="preserve">Source</t>
  </si>
  <si>
    <t xml:space="preserve">Class A common (6-Aug-2026)</t>
  </si>
  <si>
    <t xml:space="preserve">10-Q cover page</t>
  </si>
  <si>
    <t xml:space="preserve">Class B common = AST LLC units (exchangeable 1:1)</t>
  </si>
  <si>
    <t xml:space="preserve">Class C common = AST LLC units (exchangeable 1:1)</t>
  </si>
  <si>
    <t xml:space="preserve">Basic economic shares (mm) - S0</t>
  </si>
  <si>
    <t xml:space="preserve">Up-C: Class B/C are voting-only; economics sit in AST LLC units exchangeable 1:1 (R-05).</t>
  </si>
  <si>
    <t xml:space="preserve">Cash &amp; liquid assets</t>
  </si>
  <si>
    <t xml:space="preserve">Item</t>
  </si>
  <si>
    <t xml:space="preserve">Include (1/0)</t>
  </si>
  <si>
    <t xml:space="preserve">Included $mm</t>
  </si>
  <si>
    <t xml:space="preserve">Cash &amp; cash equivalents (30-Jun-2026)</t>
  </si>
  <si>
    <t xml:space="preserve">10-Q balance sheet</t>
  </si>
  <si>
    <t xml:space="preserve">Restricted cash - non-current (UBS bridge collateral)</t>
  </si>
  <si>
    <t xml:space="preserve">10-Q Note 3; nets vs UBS loan</t>
  </si>
  <si>
    <t xml:space="preserve">Restricted cash - current (LC/customs collateral)</t>
  </si>
  <si>
    <t xml:space="preserve">10-Q; excluded - not available</t>
  </si>
  <si>
    <t xml:space="preserve">2034 notes gross proceeds (Jul-2026, $1.15bn)</t>
  </si>
  <si>
    <t xml:space="preserve">8-K / PR 21-Jul-2026</t>
  </si>
  <si>
    <t xml:space="preserve">  less: discounts &amp; expenses</t>
  </si>
  <si>
    <t xml:space="preserve">Net proceeds $1,131.2mm (pricing PR)</t>
  </si>
  <si>
    <t xml:space="preserve">  less: capped-call cost (scaled to $1.15bn)</t>
  </si>
  <si>
    <t xml:space="preserve">$96.9mm for $1.0bn (PR) x 1.15 - ESTIMATE</t>
  </si>
  <si>
    <t xml:space="preserve">Related-party notes receivable</t>
  </si>
  <si>
    <t xml:space="preserve">Total cash &amp; liquid assets</t>
  </si>
  <si>
    <t xml:space="preserve">Check: pro forma cash+restricted vs company-reported 'over $3.7bn'</t>
  </si>
  <si>
    <t xml:space="preserve">Company: 'over $3.7 billion ... pro forma for convertible notes offering' (Q2-26 deck).</t>
  </si>
  <si>
    <t xml:space="preserve">Non-convertible debt (face)</t>
  </si>
  <si>
    <t xml:space="preserve">Trinity Capital equipment loan</t>
  </si>
  <si>
    <t xml:space="preserve">10-Q Note 6</t>
  </si>
  <si>
    <t xml:space="preserve">UBS bridge loan (cash-collateralised)</t>
  </si>
  <si>
    <t xml:space="preserve">Total non-convertible debt</t>
  </si>
  <si>
    <t xml:space="preserve">Convertible notes</t>
  </si>
  <si>
    <t xml:space="preserve">Tranche</t>
  </si>
  <si>
    <t xml:space="preserve">Face $mm</t>
  </si>
  <si>
    <t xml:space="preserve">Conv. price $</t>
  </si>
  <si>
    <t xml:space="preserve">Cap price $</t>
  </si>
  <si>
    <t xml:space="preserve">Shares mm</t>
  </si>
  <si>
    <t xml:space="preserve">Trigger K $</t>
  </si>
  <si>
    <t xml:space="preserve">2032 4.25% converts</t>
  </si>
  <si>
    <t xml:space="preserve">10-Q Note 6; conv. rate 37.0535</t>
  </si>
  <si>
    <t xml:space="preserve">2032 2.375% converts</t>
  </si>
  <si>
    <t xml:space="preserve">10-Q Note 6; conv. rate 13.8750 (capped call ignored - conservative)</t>
  </si>
  <si>
    <t xml:space="preserve">2036 2.00% converts</t>
  </si>
  <si>
    <t xml:space="preserve">Pricing PR Oct-2025, $96.30</t>
  </si>
  <si>
    <t xml:space="preserve">2036 2.25% converts</t>
  </si>
  <si>
    <t xml:space="preserve">Pricing 8-K Feb-2026, conv. rate 8.5982</t>
  </si>
  <si>
    <t xml:space="preserve">2034 1.625% converts (Jul-2026)</t>
  </si>
  <si>
    <t xml:space="preserve">Pricing 8-K Jul-2026; capped call cap $149.20</t>
  </si>
  <si>
    <t xml:space="preserve">Total convertible face</t>
  </si>
  <si>
    <t xml:space="preserve">Check: total debt face at 30-Jun-2026 vs 10-Q ($3,022.2mm)</t>
  </si>
  <si>
    <t xml:space="preserve">10-Q Note 6 total debt face $3,022,152k (excludes Jul-2026 notes).</t>
  </si>
  <si>
    <t xml:space="preserve">Equity awards (treasury-stock logic via value-consistent dilution engine)</t>
  </si>
  <si>
    <t xml:space="preserve">Award</t>
  </si>
  <si>
    <t xml:space="preserve">Count</t>
  </si>
  <si>
    <t xml:space="preserve">Strike $</t>
  </si>
  <si>
    <t xml:space="preserve">2020 Plan stock options</t>
  </si>
  <si>
    <t xml:space="preserve">Q1-26 10-Q (31-Mar-2026, latest disclosed)</t>
  </si>
  <si>
    <t xml:space="preserve">2024 Plan stock options</t>
  </si>
  <si>
    <t xml:space="preserve">Q2-26 10-Q count; strike = 10-K WAEP</t>
  </si>
  <si>
    <t xml:space="preserve">AST LLC incentive options</t>
  </si>
  <si>
    <t xml:space="preserve">Q2-25 10-Q (STALE - latest found)</t>
  </si>
  <si>
    <t xml:space="preserve">2020 Plan RSUs</t>
  </si>
  <si>
    <t xml:space="preserve">Q2-26 10-Q</t>
  </si>
  <si>
    <t xml:space="preserve">2024 Plan RSUs</t>
  </si>
  <si>
    <t xml:space="preserve">FY25 proxy (STALE, Dec-2025 - latest found)</t>
  </si>
  <si>
    <t xml:space="preserve">Dilutive instrument table (feeds every Calc sheet)</t>
  </si>
  <si>
    <t xml:space="preserve">Instrument</t>
  </si>
  <si>
    <t xml:space="preserve">Shares n (mm)</t>
  </si>
  <si>
    <t xml:space="preserve">Value added on conversion D $mm</t>
  </si>
  <si>
    <t xml:space="preserve">Convert: D = face (plain) or n x cap (capped call). Option: D = n x strike (cash in). RSU: K=0, D=0.</t>
  </si>
  <si>
    <t xml:space="preserve">Market-implied reference points</t>
  </si>
  <si>
    <t xml:space="preserve">Equity market value at current price ($mm, basic)</t>
  </si>
  <si>
    <t xml:space="preserve">Market-implied EV ($mm) = mkt cap + all debt face - cash</t>
  </si>
  <si>
    <t xml:space="preserve">Debt / (debt + equity) at market</t>
  </si>
  <si>
    <t xml:space="preserve">DISCOUNT RATE</t>
  </si>
  <si>
    <t xml:space="preserve">CAPM cost of equity; beta estimated live from IBKR data (Market_Data). Growth-phase WACC fades linearly to a mature WACC. Same WACC for every scenario - scenario risk is in cash flows, not the rate (R-03).</t>
  </si>
  <si>
    <t xml:space="preserve">Risk-free rate</t>
  </si>
  <si>
    <t xml:space="preserve">Equity risk premium</t>
  </si>
  <si>
    <t xml:space="preserve">Beta - growth phase (Blume-adjusted, live)</t>
  </si>
  <si>
    <t xml:space="preserve">Cost of equity - growth phase</t>
  </si>
  <si>
    <t xml:space="preserve">After-tax cost of debt - growth phase</t>
  </si>
  <si>
    <t xml:space="preserve">WACC - growth phase</t>
  </si>
  <si>
    <t xml:space="preserve">Cost of equity - mature phase</t>
  </si>
  <si>
    <t xml:space="preserve">After-tax cost of debt - mature phase</t>
  </si>
  <si>
    <t xml:space="preserve">WACC - mature / terminal</t>
  </si>
  <si>
    <t xml:space="preserve">Period</t>
  </si>
  <si>
    <t xml:space="preserve">2026H2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</si>
  <si>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</si>
  <si>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</si>
  <si>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</si>
  <si>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</si>
  <si>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</si>
  <si>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</si>
  <si>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</si>
  <si>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</si>
  <si>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</si>
  <si>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</si>
  <si>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</si>
  <si>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</si>
  <si>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</si>
  <si>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</si>
  <si>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Year</t>
  </si>
  <si>
    <t xml:space="preserve">WACC applied</t>
  </si>
  <si>
    <t xml:space="preserve">MARKET DATA (Interactive Brokers)</t>
  </si>
  <si>
    <t xml:space="preserve">Weekly closes, 2-yr window, retrieved from IBKR 10-Sep-2026. ASTS conid 480745767 (NASDAQ), SPY conid 756733 (ARCA). Last bar is a partial week (excluded from regression).</t>
  </si>
  <si>
    <t xml:space="preserve">Week start</t>
  </si>
  <si>
    <t xml:space="preserve">ASTS close</t>
  </si>
  <si>
    <t xml:space="preserve">SPY close</t>
  </si>
  <si>
    <t xml:space="preserve">ASTS ret</t>
  </si>
  <si>
    <t xml:space="preserve">SPY ret</t>
  </si>
  <si>
    <t xml:space="preserve">ASTS peak</t>
  </si>
  <si>
    <t xml:space="preserve">Drawdown</t>
  </si>
  <si>
    <t xml:space="preserve">Statistic</t>
  </si>
  <si>
    <t xml:space="preserve">Note</t>
  </si>
  <si>
    <t xml:space="preserve">2024-09-11</t>
  </si>
  <si>
    <t xml:space="preserve">2024-09-16</t>
  </si>
  <si>
    <t xml:space="preserve">Current price (last close, $)</t>
  </si>
  <si>
    <t xml:space="preserve">2024-09-23</t>
  </si>
  <si>
    <t xml:space="preserve">Full-week returns in regression (n)</t>
  </si>
  <si>
    <t xml:space="preserve">2024-09-30</t>
  </si>
  <si>
    <t xml:space="preserve">Raw beta vs SPY (weekly, 2y)</t>
  </si>
  <si>
    <t xml:space="preserve">95% CI roughly beta +/- 1.96 x SE: statistically weak (R-01).</t>
  </si>
  <si>
    <t xml:space="preserve">2024-10-07</t>
  </si>
  <si>
    <t xml:space="preserve">Std. error of beta</t>
  </si>
  <si>
    <t xml:space="preserve">2024-10-14</t>
  </si>
  <si>
    <t xml:space="preserve">t-statistic</t>
  </si>
  <si>
    <t xml:space="preserve">2024-10-21</t>
  </si>
  <si>
    <t xml:space="preserve">R-squared (systematic share of variance)</t>
  </si>
  <si>
    <t xml:space="preserve">2024-10-28</t>
  </si>
  <si>
    <t xml:space="preserve">Blume-adjusted beta (used in WACC)</t>
  </si>
  <si>
    <t xml:space="preserve">Blume (1971): 0.67 x raw + 0.33. Chosen over raw/shrinkage - see Review_Log R-01.</t>
  </si>
  <si>
    <t xml:space="preserve">2024-11-04</t>
  </si>
  <si>
    <t xml:space="preserve">ASTS annualised volatility</t>
  </si>
  <si>
    <t xml:space="preserve">2024-11-11</t>
  </si>
  <si>
    <t xml:space="preserve">SPY annualised volatility</t>
  </si>
  <si>
    <t xml:space="preserve">2024-11-18</t>
  </si>
  <si>
    <t xml:space="preserve">Idiosyncratic volatility</t>
  </si>
  <si>
    <t xml:space="preserve">2024-11-25</t>
  </si>
  <si>
    <t xml:space="preserve">Max drawdown (2y)</t>
  </si>
  <si>
    <t xml:space="preserve">2024-12-02</t>
  </si>
  <si>
    <t xml:space="preserve">1-week historical VaR 95% (return)</t>
  </si>
  <si>
    <t xml:space="preserve">2024-12-09</t>
  </si>
  <si>
    <t xml:space="preserve">1-week CVaR 95% (mean of returns &lt;= VaR)</t>
  </si>
  <si>
    <t xml:space="preserve">2024-12-16</t>
  </si>
  <si>
    <t xml:space="preserve">1-week parametric VaR 95% (normal)</t>
  </si>
  <si>
    <t xml:space="preserve">2024-12-23</t>
  </si>
  <si>
    <t xml:space="preserve">Annualised downside deviation (MAR 0)</t>
  </si>
  <si>
    <t xml:space="preserve">2024-12-30</t>
  </si>
  <si>
    <t xml:space="preserve">2-yr high close</t>
  </si>
  <si>
    <t xml:space="preserve">2025-01-06</t>
  </si>
  <si>
    <t xml:space="preserve">2-yr low close</t>
  </si>
  <si>
    <t xml:space="preserve">2025-01-13</t>
  </si>
  <si>
    <t xml:space="preserve">2025-01-21</t>
  </si>
  <si>
    <t xml:space="preserve">2025-01-27</t>
  </si>
  <si>
    <t xml:space="preserve">2025-02-03</t>
  </si>
  <si>
    <t xml:space="preserve">2025-02-10</t>
  </si>
  <si>
    <t xml:space="preserve">2025-02-18</t>
  </si>
  <si>
    <t xml:space="preserve">2025-02-24</t>
  </si>
  <si>
    <t xml:space="preserve">2025-03-03</t>
  </si>
  <si>
    <t xml:space="preserve">2025-03-10</t>
  </si>
  <si>
    <t xml:space="preserve">2025-03-17</t>
  </si>
  <si>
    <t xml:space="preserve">2025-03-24</t>
  </si>
  <si>
    <t xml:space="preserve">2025-03-31</t>
  </si>
  <si>
    <t xml:space="preserve">2025-04-07</t>
  </si>
  <si>
    <t xml:space="preserve">2025-04-14</t>
  </si>
  <si>
    <t xml:space="preserve">2025-04-21</t>
  </si>
  <si>
    <t xml:space="preserve">2025-04-28</t>
  </si>
  <si>
    <t xml:space="preserve">2025-05-05</t>
  </si>
  <si>
    <t xml:space="preserve">2025-05-12</t>
  </si>
  <si>
    <t xml:space="preserve">2025-05-19</t>
  </si>
  <si>
    <t xml:space="preserve">2025-05-27</t>
  </si>
  <si>
    <t xml:space="preserve">2025-06-02</t>
  </si>
  <si>
    <t xml:space="preserve">2025-06-09</t>
  </si>
  <si>
    <t xml:space="preserve">2025-06-16</t>
  </si>
  <si>
    <t xml:space="preserve">2025-06-23</t>
  </si>
  <si>
    <t xml:space="preserve">2025-06-30</t>
  </si>
  <si>
    <t xml:space="preserve">2025-07-07</t>
  </si>
  <si>
    <t xml:space="preserve">2025-07-14</t>
  </si>
  <si>
    <t xml:space="preserve">2025-07-21</t>
  </si>
  <si>
    <t xml:space="preserve">2025-07-28</t>
  </si>
  <si>
    <t xml:space="preserve">2025-08-04</t>
  </si>
  <si>
    <t xml:space="preserve">2025-08-11</t>
  </si>
  <si>
    <t xml:space="preserve">2025-08-18</t>
  </si>
  <si>
    <t xml:space="preserve">2025-08-25</t>
  </si>
  <si>
    <t xml:space="preserve">2025-09-02</t>
  </si>
  <si>
    <t xml:space="preserve">2025-09-08</t>
  </si>
  <si>
    <t xml:space="preserve">2025-09-15</t>
  </si>
  <si>
    <t xml:space="preserve">2025-09-22</t>
  </si>
  <si>
    <t xml:space="preserve">2025-09-29</t>
  </si>
  <si>
    <t xml:space="preserve">2025-10-06</t>
  </si>
  <si>
    <t xml:space="preserve">2025-10-13</t>
  </si>
  <si>
    <t xml:space="preserve">2025-10-20</t>
  </si>
  <si>
    <t xml:space="preserve">2025-10-27</t>
  </si>
  <si>
    <t xml:space="preserve">2025-11-03</t>
  </si>
  <si>
    <t xml:space="preserve">2025-11-10</t>
  </si>
  <si>
    <t xml:space="preserve">2025-11-17</t>
  </si>
  <si>
    <t xml:space="preserve">2025-11-24</t>
  </si>
  <si>
    <t xml:space="preserve">2025-12-01</t>
  </si>
  <si>
    <t xml:space="preserve">2025-12-08</t>
  </si>
  <si>
    <t xml:space="preserve">2025-12-15</t>
  </si>
  <si>
    <t xml:space="preserve">2025-12-22</t>
  </si>
  <si>
    <t xml:space="preserve">2025-12-29</t>
  </si>
  <si>
    <t xml:space="preserve">2026-01-05</t>
  </si>
  <si>
    <t xml:space="preserve">2026-01-12</t>
  </si>
  <si>
    <t xml:space="preserve">2026-01-20</t>
  </si>
  <si>
    <t xml:space="preserve">2026-01-26</t>
  </si>
  <si>
    <t xml:space="preserve">2026-02-02</t>
  </si>
  <si>
    <t xml:space="preserve">2026-02-09</t>
  </si>
  <si>
    <t xml:space="preserve">2026-02-17</t>
  </si>
  <si>
    <t xml:space="preserve">2026-02-23</t>
  </si>
  <si>
    <t xml:space="preserve">2026-03-02</t>
  </si>
  <si>
    <t xml:space="preserve">2026-03-09</t>
  </si>
  <si>
    <t xml:space="preserve">2026-03-16</t>
  </si>
  <si>
    <t xml:space="preserve">2026-03-23</t>
  </si>
  <si>
    <t xml:space="preserve">2026-03-30</t>
  </si>
  <si>
    <t xml:space="preserve">2026-04-06</t>
  </si>
  <si>
    <t xml:space="preserve">2026-04-13</t>
  </si>
  <si>
    <t xml:space="preserve">2026-04-20</t>
  </si>
  <si>
    <t xml:space="preserve">2026-04-27</t>
  </si>
  <si>
    <t xml:space="preserve">2026-05-04</t>
  </si>
  <si>
    <t xml:space="preserve">2026-05-11</t>
  </si>
  <si>
    <t xml:space="preserve">2026-05-18</t>
  </si>
  <si>
    <t xml:space="preserve">2026-05-26</t>
  </si>
  <si>
    <t xml:space="preserve">2026-06-01</t>
  </si>
  <si>
    <t xml:space="preserve">2026-06-08</t>
  </si>
  <si>
    <t xml:space="preserve">2026-06-15</t>
  </si>
  <si>
    <t xml:space="preserve">2026-06-22</t>
  </si>
  <si>
    <t xml:space="preserve">2026-06-29</t>
  </si>
  <si>
    <t xml:space="preserve">2026-07-06</t>
  </si>
  <si>
    <t xml:space="preserve">2026-07-13</t>
  </si>
  <si>
    <t xml:space="preserve">2026-07-20</t>
  </si>
  <si>
    <t xml:space="preserve">2026-07-27</t>
  </si>
  <si>
    <t xml:space="preserve">2026-08-03</t>
  </si>
  <si>
    <t xml:space="preserve">2026-08-10</t>
  </si>
  <si>
    <t xml:space="preserve">2026-08-17</t>
  </si>
  <si>
    <t xml:space="preserve">2026-08-24</t>
  </si>
  <si>
    <t xml:space="preserve">2026-08-31</t>
  </si>
  <si>
    <t xml:space="preserve">2026-09-08</t>
  </si>
  <si>
    <t xml:space="preserve">MODEL - BASE SCENARIO</t>
  </si>
  <si>
    <t xml:space="preserve">Live formulas. Inputs from 'Inputs' column F (scenario) / D (global). $mm unless stated. Periods: 2026H2 stub + 2027-2040; col S = 2041 normalised.</t>
  </si>
  <si>
    <t xml:space="preserve">2041N</t>
  </si>
  <si>
    <t xml:space="preserve">Calendar year</t>
  </si>
  <si>
    <t xml:space="preserve">Period length (years)</t>
  </si>
  <si>
    <t xml:space="preserve">Period start (year fraction)</t>
  </si>
  <si>
    <t xml:space="preserve">Cash-flow timing (mid-period)</t>
  </si>
  <si>
    <t xml:space="preserve">CONSTELLATION (Block 2 satellites)</t>
  </si>
  <si>
    <t xml:space="preserve">Target fleet, end of period</t>
  </si>
  <si>
    <t xml:space="preserve">Beginning fleet</t>
  </si>
  <si>
    <t xml:space="preserve">Retirements (end of design life)</t>
  </si>
  <si>
    <t xml:space="preserve">Successful launches (net adds + replacements)</t>
  </si>
  <si>
    <t xml:space="preserve">Ending fleet</t>
  </si>
  <si>
    <t xml:space="preserve">Satellites built incl. launch losses</t>
  </si>
  <si>
    <t xml:space="preserve">Average fleet in orbit</t>
  </si>
  <si>
    <t xml:space="preserve">Unit cost incl. launch ($mm/sat)</t>
  </si>
  <si>
    <t xml:space="preserve">Satellite capex (gross, placed in service)</t>
  </si>
  <si>
    <t xml:space="preserve">CIP pre-funding pool (scalar, col C)</t>
  </si>
  <si>
    <t xml:space="preserve">CIP credit applied (already-paid capex)</t>
  </si>
  <si>
    <t xml:space="preserve">Satellite capex, cash</t>
  </si>
  <si>
    <t xml:space="preserve">REVENUE BUILD</t>
  </si>
  <si>
    <t xml:space="preserve">Tier-1 coverage (fraction of partner base)</t>
  </si>
  <si>
    <t xml:space="preserve">Tier-2 coverage</t>
  </si>
  <si>
    <t xml:space="preserve">Logistic steepness k = 2 ln(19) / ramp (col C)</t>
  </si>
  <si>
    <t xml:space="preserve">Tier-1 adoption (take rate of covered subs)</t>
  </si>
  <si>
    <t xml:space="preserve">Tier-2 adoption (take rate of covered subs)</t>
  </si>
  <si>
    <t xml:space="preserve">MNO partner subscriber base (mm)</t>
  </si>
  <si>
    <t xml:space="preserve">Tier-1 paying users (mm, period avg)</t>
  </si>
  <si>
    <t xml:space="preserve">Tier-2 paying users (mm, period avg)</t>
  </si>
  <si>
    <t xml:space="preserve">ARPU index (2027 = 1.00)</t>
  </si>
  <si>
    <t xml:space="preserve">Tier-1 service revenue</t>
  </si>
  <si>
    <t xml:space="preserve">Tier-2 service revenue</t>
  </si>
  <si>
    <t xml:space="preserve">Government revenue</t>
  </si>
  <si>
    <t xml:space="preserve">Gateway / product revenue</t>
  </si>
  <si>
    <t xml:space="preserve">Total revenue</t>
  </si>
  <si>
    <t xml:space="preserve">Revenue growth (annualised)</t>
  </si>
  <si>
    <t xml:space="preserve">Paying users per satellite in orbit (mm)</t>
  </si>
  <si>
    <t xml:space="preserve">OPERATING COSTS &amp; EBITDA</t>
  </si>
  <si>
    <t xml:space="preserve">Cost of revenue (gateway + government)</t>
  </si>
  <si>
    <t xml:space="preserve">Service variable cost</t>
  </si>
  <si>
    <t xml:space="preserve">Ligado revenue share</t>
  </si>
  <si>
    <t xml:space="preserve">Spectrum usage payments</t>
  </si>
  <si>
    <t xml:space="preserve">Fixed adj. opex (ex-COGS, ex-SBC)</t>
  </si>
  <si>
    <t xml:space="preserve">Network, ground &amp; insurance opex</t>
  </si>
  <si>
    <t xml:space="preserve">Stock-based compensation (treated as cost)</t>
  </si>
  <si>
    <t xml:space="preserve">Total operating costs</t>
  </si>
  <si>
    <t xml:space="preserve">EBITDA (after SBC)</t>
  </si>
  <si>
    <t xml:space="preserve">EBITDA margin</t>
  </si>
  <si>
    <t xml:space="preserve">CAPEX &amp; OTHER INVESTING ITEMS</t>
  </si>
  <si>
    <t xml:space="preserve">Other capex (ground, facilities)</t>
  </si>
  <si>
    <t xml:space="preserve">J-LEO non-dilutive capital (inflow)</t>
  </si>
  <si>
    <t xml:space="preserve">CASH TAXES (NOL + depreciation)</t>
  </si>
  <si>
    <t xml:space="preserve">Tax-basis capex placed in service</t>
  </si>
  <si>
    <t xml:space="preserve">Tax depreciation</t>
  </si>
  <si>
    <t xml:space="preserve">Spectrum amortisation (15-yr, s.197)</t>
  </si>
  <si>
    <t xml:space="preserve">Taxable income</t>
  </si>
  <si>
    <t xml:space="preserve">NOL pool - beginning</t>
  </si>
  <si>
    <t xml:space="preserve">NOL utilised (80% cap)</t>
  </si>
  <si>
    <t xml:space="preserve">NOL pool - ending</t>
  </si>
  <si>
    <t xml:space="preserve">Cash taxes</t>
  </si>
  <si>
    <t xml:space="preserve">FREE CASH FLOW TO THE FIRM</t>
  </si>
  <si>
    <t xml:space="preserve">Annualised revenue</t>
  </si>
  <si>
    <t xml:space="preserve">Increase in net working capital</t>
  </si>
  <si>
    <t xml:space="preserve">Contract-liability unwind (revenue already paid in cash)</t>
  </si>
  <si>
    <t xml:space="preserve">FCFF</t>
  </si>
  <si>
    <t xml:space="preserve">Cumulative FCFF from 1-Jul-2026</t>
  </si>
  <si>
    <t xml:space="preserve">DISCOUNTING (mid-period, from valuation date)</t>
  </si>
  <si>
    <t xml:space="preserve">WACC</t>
  </si>
  <si>
    <t xml:space="preserve">Compounding factor to period end</t>
  </si>
  <si>
    <t xml:space="preserve">f</t>
  </si>
  <si>
    <t xml:space="preserve">Discount factor (mid-period)</t>
  </si>
  <si>
    <t xml:space="preserve">PV of FCFF</t>
  </si>
  <si>
    <t xml:space="preserve">TERMINAL VALUE &amp; ENTERPRISE VALUE (col C)</t>
  </si>
  <si>
    <t xml:space="preserve">Terminal WACC</t>
  </si>
  <si>
    <t xml:space="preserve">Terminal growth g</t>
  </si>
  <si>
    <t xml:space="preserve">EBITDA 2041 (normalised)</t>
  </si>
  <si>
    <t xml:space="preserve">Normalised replacement satellite capex</t>
  </si>
  <si>
    <t xml:space="preserve">Other capex 2041</t>
  </si>
  <si>
    <t xml:space="preserve">Normalised cash tax (tax dep = capex in steady state)</t>
  </si>
  <si>
    <t xml:space="preserve">Increase in NWC 2041</t>
  </si>
  <si>
    <t xml:space="preserve">FCFF 2041 (normalised)</t>
  </si>
  <si>
    <t xml:space="preserve">Terminal value at end-2040 (Gordon, mid-year consistent)</t>
  </si>
  <si>
    <t xml:space="preserve">PV of terminal value</t>
  </si>
  <si>
    <t xml:space="preserve">Sum of PV of explicit FCFF</t>
  </si>
  <si>
    <t xml:space="preserve">ENTERPRISE VALUE</t>
  </si>
  <si>
    <t xml:space="preserve">Implied terminal EV / EBITDA (2041)</t>
  </si>
  <si>
    <t xml:space="preserve">EQUITY BRIDGE &amp; DILUTION (col C)</t>
  </si>
  <si>
    <t xml:space="preserve">+ Cash &amp; liquid assets (pro forma)</t>
  </si>
  <si>
    <t xml:space="preserve">- Non-convertible debt</t>
  </si>
  <si>
    <t xml:space="preserve">- Convertible notes at face (all treated as debt first)</t>
  </si>
  <si>
    <t xml:space="preserve">Equity value before conversions</t>
  </si>
  <si>
    <t xml:space="preserve">Basic economic shares (mm)</t>
  </si>
  <si>
    <t xml:space="preserve">D $mm</t>
  </si>
  <si>
    <t xml:space="preserve">Value/sh if prefix converts</t>
  </si>
  <si>
    <t xml:space="preserve">Converts? (1/0)</t>
  </si>
  <si>
    <t xml:space="preserve">Order-independent: instrument converts iff value with all K &lt;= its K converting exceeds its K (R-07).</t>
  </si>
  <si>
    <t xml:space="preserve">Equity value after conversions</t>
  </si>
  <si>
    <t xml:space="preserve">VALUE PER SHARE ($, floored at 0 - limited liability)</t>
  </si>
  <si>
    <t xml:space="preserve">Upside / (downside) vs current price</t>
  </si>
  <si>
    <t xml:space="preserve">DIAGNOSTICS (col C)</t>
  </si>
  <si>
    <t xml:space="preserve">FY2026 revenue (H1 actual + H2 model)</t>
  </si>
  <si>
    <t xml:space="preserve">Peak cumulative funding need (min cumulative FCFF)</t>
  </si>
  <si>
    <t xml:space="preserve">Revenue CAGR 2036-2040</t>
  </si>
  <si>
    <t xml:space="preserve">Revenue 2030</t>
  </si>
  <si>
    <t xml:space="preserve">Revenue 2035</t>
  </si>
  <si>
    <t xml:space="preserve">MODEL - BEAR SCENARIO</t>
  </si>
  <si>
    <t xml:space="preserve">Live formulas. Inputs from 'Inputs' column E (scenario) / D (global). $mm unless stated. Periods: 2026H2 stub + 2027-2040; col S = 2041 normalised.</t>
  </si>
  <si>
    <t xml:space="preserve">MODEL - BULL SCENARIO</t>
  </si>
  <si>
    <t xml:space="preserve">Live formulas. Inputs from 'Inputs' column G (scenario) / D (global). $mm unless stated. Periods: 2026H2 stub + 2027-2040; col S = 2041 normalised.</t>
  </si>
  <si>
    <t xml:space="preserve">MODEL - DISTRESS SCENARIO</t>
  </si>
  <si>
    <t xml:space="preserve">Live formulas. Inputs from 'Inputs' column D (scenario) / D (global). $mm unless stated. Periods: 2026H2 stub + 2027-2040; col S = 2041 normalised.</t>
  </si>
  <si>
    <t xml:space="preserve">SENSITIVITY ANALYSIS</t>
  </si>
  <si>
    <t xml:space="preserve">Top grid is LIVE (Base scenario, WACC shift x terminal g, full dilution engine per cell). Lower tables are generated by engine.py (values stamped; re-run to refresh).</t>
  </si>
  <si>
    <t xml:space="preserve">Value per share ($) - Base scenario</t>
  </si>
  <si>
    <t xml:space="preserve">WACC shift (rows) / terminal g (cols)</t>
  </si>
  <si>
    <t xml:space="preserve">Check: centre cell equals Calc_Base value per share</t>
  </si>
  <si>
    <t xml:space="preserve">Tornado - Base value per share at P10 / P90 of each driver (engine.py)</t>
  </si>
  <si>
    <t xml:space="preserve">Generated by analytics.py (seed 20260910, 20,000 paths) on 10-Sep-2026 from Base inputs as delivered. Values, not formulas: re-run to refresh.</t>
  </si>
  <si>
    <t xml:space="preserve">Driver</t>
  </si>
  <si>
    <t xml:space="preserve">P10 input</t>
  </si>
  <si>
    <t xml:space="preserve">$/sh at P10</t>
  </si>
  <si>
    <t xml:space="preserve">P90 input</t>
  </si>
  <si>
    <t xml:space="preserve">$/sh at P90</t>
  </si>
  <si>
    <t xml:space="preserve">Swing $</t>
  </si>
  <si>
    <t xml:space="preserve">delay</t>
  </si>
  <si>
    <t xml:space="preserve">opex_mult</t>
  </si>
  <si>
    <t xml:space="preserve">gov_mult</t>
  </si>
  <si>
    <t xml:space="preserve">Base value per share (reference): $57.40</t>
  </si>
  <si>
    <t xml:space="preserve">Base $/share: Tier-1 peak take rate x Tier-1 ARPU</t>
  </si>
  <si>
    <t xml:space="preserve">Take rate (rows) / ARPU $/mo (cols)</t>
  </si>
  <si>
    <t xml:space="preserve">Base $/share: satellite unit cost x CIP pre-funding share</t>
  </si>
  <si>
    <t xml:space="preserve">Unit cost $mm (rows) / CIP credit (cols)</t>
  </si>
  <si>
    <t xml:space="preserve">Reverse DCF - what the $62.42 share price implies (engine.py)</t>
  </si>
  <si>
    <t xml:space="preserve">Base-case Tier-1 peak take rate that equates value to price</t>
  </si>
  <si>
    <t xml:space="preserve">Base-case parallel WACC shift that equates value to price</t>
  </si>
  <si>
    <t xml:space="preserve">  implied growth-phase WACC</t>
  </si>
  <si>
    <t xml:space="preserve">  implied terminal WACC</t>
  </si>
  <si>
    <t xml:space="preserve">Multiplier on every scenario's Tier-1 take rate for prob-weighted value = price</t>
  </si>
  <si>
    <t xml:space="preserve">Helper: per-cell valuation and dilution engine</t>
  </si>
  <si>
    <t xml:space="preserve">Cell</t>
  </si>
  <si>
    <t xml:space="preserve">WACC shift</t>
  </si>
  <si>
    <t xml:space="preserve">EV</t>
  </si>
  <si>
    <t xml:space="preserve">E0</t>
  </si>
  <si>
    <t xml:space="preserve">conv1</t>
  </si>
  <si>
    <t xml:space="preserve">conv2</t>
  </si>
  <si>
    <t xml:space="preserve">conv3</t>
  </si>
  <si>
    <t xml:space="preserve">conv4</t>
  </si>
  <si>
    <t xml:space="preserve">conv5</t>
  </si>
  <si>
    <t xml:space="preserve">conv6</t>
  </si>
  <si>
    <t xml:space="preserve">conv7</t>
  </si>
  <si>
    <t xml:space="preserve">conv8</t>
  </si>
  <si>
    <t xml:space="preserve">conv9</t>
  </si>
  <si>
    <t xml:space="preserve">conv10</t>
  </si>
  <si>
    <t xml:space="preserve">Equity</t>
  </si>
  <si>
    <t xml:space="preserve">$/sh</t>
  </si>
  <si>
    <t xml:space="preserve">r0c0</t>
  </si>
  <si>
    <t xml:space="preserve">r0c1</t>
  </si>
  <si>
    <t xml:space="preserve">r0c2</t>
  </si>
  <si>
    <t xml:space="preserve">r0c3</t>
  </si>
  <si>
    <t xml:space="preserve">r0c4</t>
  </si>
  <si>
    <t xml:space="preserve">r1c0</t>
  </si>
  <si>
    <t xml:space="preserve">r1c1</t>
  </si>
  <si>
    <t xml:space="preserve">r1c2</t>
  </si>
  <si>
    <t xml:space="preserve">r1c3</t>
  </si>
  <si>
    <t xml:space="preserve">r1c4</t>
  </si>
  <si>
    <t xml:space="preserve">r2c0</t>
  </si>
  <si>
    <t xml:space="preserve">r2c1</t>
  </si>
  <si>
    <t xml:space="preserve">r2c2</t>
  </si>
  <si>
    <t xml:space="preserve">r2c3</t>
  </si>
  <si>
    <t xml:space="preserve">r2c4</t>
  </si>
  <si>
    <t xml:space="preserve">r3c0</t>
  </si>
  <si>
    <t xml:space="preserve">r3c1</t>
  </si>
  <si>
    <t xml:space="preserve">r3c2</t>
  </si>
  <si>
    <t xml:space="preserve">r3c3</t>
  </si>
  <si>
    <t xml:space="preserve">r3c4</t>
  </si>
  <si>
    <t xml:space="preserve">r4c0</t>
  </si>
  <si>
    <t xml:space="preserve">r4c1</t>
  </si>
  <si>
    <t xml:space="preserve">r4c2</t>
  </si>
  <si>
    <t xml:space="preserve">r4c3</t>
  </si>
  <si>
    <t xml:space="preserve">r4c4</t>
  </si>
  <si>
    <t xml:space="preserve">MONTE CARLO SIMULATION</t>
  </si>
  <si>
    <t xml:space="preserve">Design (Agent 2)</t>
  </si>
  <si>
    <t xml:space="preserve">Engine</t>
  </si>
  <si>
    <t xml:space="preserve">engine.py run() on Base inputs; Distress jump with scenario probability</t>
  </si>
  <si>
    <t xml:space="preserve">Paths</t>
  </si>
  <si>
    <t xml:space="preserve">20,000</t>
  </si>
  <si>
    <t xml:space="preserve">Random seed</t>
  </si>
  <si>
    <t xml:space="preserve">Dependence</t>
  </si>
  <si>
    <t xml:space="preserve">Gaussian copula; correlation matrix below (PSD: min eigenvalue 0.243)</t>
  </si>
  <si>
    <t xml:space="preserve">Distress jump probability</t>
  </si>
  <si>
    <t xml:space="preserve">Beta / WACC</t>
  </si>
  <si>
    <t xml:space="preserve">Live Blume beta; WACC shift drawn N(0,1pp)</t>
  </si>
  <si>
    <t xml:space="preserve">Distribution</t>
  </si>
  <si>
    <t xml:space="preserve">Tier-1 peak take rate: median 10%, sigma(log) 0.55</t>
  </si>
  <si>
    <t xml:space="preserve">Tier-2 peak take rate: median 3%, sigma(log) 0.70</t>
  </si>
  <si>
    <t xml:space="preserve">Tier-1 ARPU $/mo: triangular 3.50 / 5.00 / 6.50</t>
  </si>
  <si>
    <t xml:space="preserve">Tier-2 ARPU $/mo: triangular 0.40 / 0.75 / 1.10</t>
  </si>
  <si>
    <t xml:space="preserve">Unit cost $mm: triangular 20 / 22 / 27 (overrun skew)</t>
  </si>
  <si>
    <t xml:space="preserve">Deployment &amp; service delay (yrs): 0/1/2 @ 45/35/20%</t>
  </si>
  <si>
    <t xml:space="preserve">CIP pre-funding share: uniform 25-75%</t>
  </si>
  <si>
    <t xml:space="preserve">Fixed-opex level multiplier: median 1.0, sigma 0.15</t>
  </si>
  <si>
    <t xml:space="preserve">Service variable cost %: uniform 9-16%</t>
  </si>
  <si>
    <t xml:space="preserve">Government revenue multiplier: median 1.0, sigma 0.35</t>
  </si>
  <si>
    <t xml:space="preserve">WACC shift: normal(0, 1.0pp)</t>
  </si>
  <si>
    <t xml:space="preserve">Terminal growth: triangular 1.5 / 2.5 / 3.0%</t>
  </si>
  <si>
    <t xml:space="preserve">ARPU repricing p.a. to 2032: uniform -3% to 0%</t>
  </si>
  <si>
    <t xml:space="preserve">Satellite life (yrs): 6/7/8 @ 25/50/25%</t>
  </si>
  <si>
    <t xml:space="preserve">Correlation pair</t>
  </si>
  <si>
    <t xml:space="preserve">rho</t>
  </si>
  <si>
    <t xml:space="preserve">Rationale</t>
  </si>
  <si>
    <t xml:space="preserve">take_t1 / take_t2</t>
  </si>
  <si>
    <t xml:space="preserve">Common demand factor for D2D.</t>
  </si>
  <si>
    <t xml:space="preserve">take_t1 / arpu_t1</t>
  </si>
  <si>
    <t xml:space="preserve">Price elasticity: cheaper plans lift take-up.</t>
  </si>
  <si>
    <t xml:space="preserve">take_t2 / arpu_t2</t>
  </si>
  <si>
    <t xml:space="preserve">Price elasticity.</t>
  </si>
  <si>
    <t xml:space="preserve">unit_cost / delay</t>
  </si>
  <si>
    <t xml:space="preserve">Programme stress raises cost and slips schedule together.</t>
  </si>
  <si>
    <t xml:space="preserve">delay / take_t1</t>
  </si>
  <si>
    <t xml:space="preserve">Late network cedes share to Starlink D2C.</t>
  </si>
  <si>
    <t xml:space="preserve">Results - value per share ($)</t>
  </si>
  <si>
    <t xml:space="preserve">Mean</t>
  </si>
  <si>
    <t xml:space="preserve">Std. error of mean</t>
  </si>
  <si>
    <t xml:space="preserve">P5</t>
  </si>
  <si>
    <t xml:space="preserve">P10</t>
  </si>
  <si>
    <t xml:space="preserve">P25</t>
  </si>
  <si>
    <t xml:space="preserve">Median</t>
  </si>
  <si>
    <t xml:space="preserve">P75</t>
  </si>
  <si>
    <t xml:space="preserve">P90</t>
  </si>
  <si>
    <t xml:space="preserve">P95</t>
  </si>
  <si>
    <t xml:space="preserve">P(value &gt; current price)</t>
  </si>
  <si>
    <t xml:space="preserve">P(equity value ~ 0)</t>
  </si>
  <si>
    <t xml:space="preserve">Mean excluding distress paths</t>
  </si>
  <si>
    <t xml:space="preserve">Scenario prob-weighted value (for triangulation)</t>
  </si>
  <si>
    <t xml:space="preserve">Current price</t>
  </si>
  <si>
    <t xml:space="preserve">MC mean / scenario prob-weighted - 1</t>
  </si>
  <si>
    <t xml:space="preserve">Two independent aggregation methods; agreement within ~5% (A2-05).</t>
  </si>
  <si>
    <t xml:space="preserve">Model-implied expected return p.a. (3-yr convergence, on MC mean)</t>
  </si>
  <si>
    <t xml:space="preserve">Convergence: running mean by path count</t>
  </si>
  <si>
    <t xml:space="preserve">First 2,500 paths</t>
  </si>
  <si>
    <t xml:space="preserve">First 5,000 paths</t>
  </si>
  <si>
    <t xml:space="preserve">First 10,000 paths</t>
  </si>
  <si>
    <t xml:space="preserve">First 20,000 paths</t>
  </si>
  <si>
    <t xml:space="preserve">Histogram bin ($, lower edge)</t>
  </si>
  <si>
    <t xml:space="preserve">0-10</t>
  </si>
  <si>
    <t xml:space="preserve">10-20</t>
  </si>
  <si>
    <t xml:space="preserve">20-30</t>
  </si>
  <si>
    <t xml:space="preserve">30-40</t>
  </si>
  <si>
    <t xml:space="preserve">40-50</t>
  </si>
  <si>
    <t xml:space="preserve">50-60</t>
  </si>
  <si>
    <t xml:space="preserve">60-70</t>
  </si>
  <si>
    <t xml:space="preserve">70-80</t>
  </si>
  <si>
    <t xml:space="preserve">80-90</t>
  </si>
  <si>
    <t xml:space="preserve">90-100</t>
  </si>
  <si>
    <t xml:space="preserve">100-110</t>
  </si>
  <si>
    <t xml:space="preserve">110-120</t>
  </si>
  <si>
    <t xml:space="preserve">120-130</t>
  </si>
  <si>
    <t xml:space="preserve">130-140</t>
  </si>
  <si>
    <t xml:space="preserve">140-150</t>
  </si>
  <si>
    <t xml:space="preserve">150-160</t>
  </si>
  <si>
    <t xml:space="preserve">160-170</t>
  </si>
  <si>
    <t xml:space="preserve">170-180</t>
  </si>
  <si>
    <t xml:space="preserve">180-190</t>
  </si>
  <si>
    <t xml:space="preserve">190-200</t>
  </si>
  <si>
    <t xml:space="preserve">200-210</t>
  </si>
  <si>
    <t xml:space="preserve">210-220</t>
  </si>
  <si>
    <t xml:space="preserve">220-230</t>
  </si>
  <si>
    <t xml:space="preserve">230-240</t>
  </si>
  <si>
    <t xml:space="preserve">240-250</t>
  </si>
  <si>
    <t xml:space="preserve">250-260</t>
  </si>
  <si>
    <t xml:space="preserve">260-270</t>
  </si>
  <si>
    <t xml:space="preserve">270-280</t>
  </si>
  <si>
    <t xml:space="preserve">280-290</t>
  </si>
  <si>
    <t xml:space="preserve">290+</t>
  </si>
  <si>
    <t xml:space="preserve">RISK ANALYSIS</t>
  </si>
  <si>
    <t xml:space="preserve">Market risk live from IBKR data; fundamental risk live from Calc sheets; simulation risk from Monte_Carlo.</t>
  </si>
  <si>
    <t xml:space="preserve">Market risk (live)</t>
  </si>
  <si>
    <t xml:space="preserve">Annualised volatility (2y weekly)</t>
  </si>
  <si>
    <t xml:space="preserve">Raw beta / std. error</t>
  </si>
  <si>
    <t xml:space="preserve">R-squared vs S&amp;P 500</t>
  </si>
  <si>
    <t xml:space="preserve">1-week VaR 95% (historical)</t>
  </si>
  <si>
    <t xml:space="preserve">1-week CVaR 95%</t>
  </si>
  <si>
    <t xml:space="preserve">1-week VaR 95% (parametric)</t>
  </si>
  <si>
    <t xml:space="preserve">Downside deviation (annualised)</t>
  </si>
  <si>
    <t xml:space="preserve">Expected return / volatility (model-implied Sharpe, 3-yr)</t>
  </si>
  <si>
    <t xml:space="preserve">Inputs for the portfolio optimisation: replace the 12% placeholder with the model-implied figure.</t>
  </si>
  <si>
    <t xml:space="preserve">Funding &amp; balance-sheet risk (live, by scenario)</t>
  </si>
  <si>
    <t xml:space="preserve">Available liquidity (cash less collateralised UBS loan)</t>
  </si>
  <si>
    <t xml:space="preserve">Peak cumulative FCFF need</t>
  </si>
  <si>
    <t xml:space="preserve">Funding headroom / (gap) before new capital</t>
  </si>
  <si>
    <t xml:space="preserve">Gap = equity/debt raise needed. Dilutive if raised below intrinsic value (not modelled; FCFF assumes fair-value raises).</t>
  </si>
  <si>
    <t xml:space="preserve">A3-10: excludes the committed $550mm non-recourse SPV facility for the Ligado payment (10-K) - adds ~$550mm headroom if drawn.</t>
  </si>
  <si>
    <t xml:space="preserve">Convertible maturity wall</t>
  </si>
  <si>
    <t xml:space="preserve">1-Mar-2032</t>
  </si>
  <si>
    <t xml:space="preserve">Sources: 10-Q Note 6; Feb-2026 8-K; Jul-2026 8-K. Converts settle in cash/shares at company election.</t>
  </si>
  <si>
    <t xml:space="preserve">15-Oct-2032</t>
  </si>
  <si>
    <t xml:space="preserve">2034 1.625% converts</t>
  </si>
  <si>
    <t xml:space="preserve">1-Feb-2034</t>
  </si>
  <si>
    <t xml:space="preserve">15-Jan-2036</t>
  </si>
  <si>
    <t xml:space="preserve">15-Apr-2036</t>
  </si>
  <si>
    <t xml:space="preserve">Simulation risk (Monte_Carlo)</t>
  </si>
  <si>
    <t xml:space="preserve">P(intrinsic value &gt; price)</t>
  </si>
  <si>
    <t xml:space="preserve">P10 value per share</t>
  </si>
  <si>
    <t xml:space="preserve">P90 value per share</t>
  </si>
  <si>
    <t xml:space="preserve">Risk register (qualitative -&gt; model lever)</t>
  </si>
  <si>
    <t xml:space="preserve">Risk</t>
  </si>
  <si>
    <t xml:space="preserve">Model lever(s)</t>
  </si>
  <si>
    <t xml:space="preserve">Evidence / comment</t>
  </si>
  <si>
    <t xml:space="preserve">Deployment slip / launch failure</t>
  </si>
  <si>
    <t xml:space="preserve">fl_*, loss_rate, MC delay</t>
  </si>
  <si>
    <t xml:space="preserve">BB7 lost Apr-2026; history of Block 2 slips.</t>
  </si>
  <si>
    <t xml:space="preserve">Adoption below plan (Starlink D2C competition)</t>
  </si>
  <si>
    <t xml:space="preserve">take_t1/t2, px_g</t>
  </si>
  <si>
    <t xml:space="preserve">T-Satellite $10/mo, 650+ Starlink sats; #1 value driver.</t>
  </si>
  <si>
    <t xml:space="preserve">Spectrum / regulatory (Ligado FCC approval)</t>
  </si>
  <si>
    <t xml:space="preserve">ligado_year, spec_fee</t>
  </si>
  <si>
    <t xml:space="preserve">Application 'Pending Review' since Jan-2026.</t>
  </si>
  <si>
    <t xml:space="preserve">Capital intensity / funding at depressed prices</t>
  </si>
  <si>
    <t xml:space="preserve">Funding gap rows above</t>
  </si>
  <si>
    <t xml:space="preserve">Dilution below value is value-destructive; not in FCFF.</t>
  </si>
  <si>
    <t xml:space="preserve">Satellite life shorter than 7 yrs</t>
  </si>
  <si>
    <t xml:space="preserve">Secondary source only; drives replacement capex.</t>
  </si>
  <si>
    <t xml:space="preserve">SBC-driven dilution</t>
  </si>
  <si>
    <t xml:space="preserve">sbc_* rows</t>
  </si>
  <si>
    <t xml:space="preserve">Q2-26 SBC $63.5mm/qtr; treated as cost.</t>
  </si>
  <si>
    <t xml:space="preserve">Key-person / governance (Up-C, Class C control)</t>
  </si>
  <si>
    <t xml:space="preserve">Not modelled</t>
  </si>
  <si>
    <t xml:space="preserve">Founder controls via Class C voting shares.</t>
  </si>
  <si>
    <t xml:space="preserve">VALIDATION CHECKS</t>
  </si>
  <si>
    <t xml:space="preserve">Every check is a live formula. Overall status must read ALL PASS before the model is used.</t>
  </si>
  <si>
    <t xml:space="preserve">OVERALL STATUS</t>
  </si>
  <si>
    <t xml:space="preserve">Check</t>
  </si>
  <si>
    <t xml:space="preserve">Pass?</t>
  </si>
  <si>
    <t xml:space="preserve">Why it matters</t>
  </si>
  <si>
    <t xml:space="preserve">Scenario probabilities sum to 100%</t>
  </si>
  <si>
    <t xml:space="preserve">Weights must be a probability distribution.</t>
  </si>
  <si>
    <t xml:space="preserve">Terminal g below risk-free rate</t>
  </si>
  <si>
    <t xml:space="preserve">g &gt; Rf implies firm outgrows economy forever.</t>
  </si>
  <si>
    <t xml:space="preserve">Terminal WACC exceeds g by &gt;= 3pp</t>
  </si>
  <si>
    <t xml:space="preserve">Gordon model explodes as WACC -&gt; g.</t>
  </si>
  <si>
    <t xml:space="preserve">WACC what-if lever is zero</t>
  </si>
  <si>
    <t xml:space="preserve">Delivered valuation must not carry a manual shift.</t>
  </si>
  <si>
    <t xml:space="preserve">Pro forma cash within 3% of company's 'over $3.7bn'</t>
  </si>
  <si>
    <t xml:space="preserve">Reconciles bridge to company disclosure.</t>
  </si>
  <si>
    <t xml:space="preserve">Debt schedule ties to 10-Q total face $3,022.152mm</t>
  </si>
  <si>
    <t xml:space="preserve">Catches omitted or double-counted debt.</t>
  </si>
  <si>
    <t xml:space="preserve">Share count ties to 10-Q cover (389.168mm)</t>
  </si>
  <si>
    <t xml:space="preserve">Up-C share classes all included.</t>
  </si>
  <si>
    <t xml:space="preserve">Sensitivity grid centre = Calc_Base value</t>
  </si>
  <si>
    <t xml:space="preserve">Independent re-derivation of Base value.</t>
  </si>
  <si>
    <t xml:space="preserve">Distress: discount factors strictly decreasing</t>
  </si>
  <si>
    <t xml:space="preserve">Detects broken discounting / negative WACC.</t>
  </si>
  <si>
    <t xml:space="preserve">Distress: fleet never negative</t>
  </si>
  <si>
    <t xml:space="preserve">Fleet mechanics.</t>
  </si>
  <si>
    <t xml:space="preserve">Distress: NOL pool never negative</t>
  </si>
  <si>
    <t xml:space="preserve">Tax mechanics.</t>
  </si>
  <si>
    <t xml:space="preserve">Distress: CIP credit used &lt;= pool</t>
  </si>
  <si>
    <t xml:space="preserve">No double use of prepaid capex.</t>
  </si>
  <si>
    <t xml:space="preserve">Distress: EBITDA margin 2040 within 40-75% (or scenario is Distress)</t>
  </si>
  <si>
    <t xml:space="preserve">Benchmark: Iridium 56.8% (FY25).</t>
  </si>
  <si>
    <t xml:space="preserve">Distress: revenue CAGR 2036-40 within g +/- 1.5pp (or Distress)</t>
  </si>
  <si>
    <t xml:space="preserve">Explicit period must be consistent with terminal growth (A3-01).</t>
  </si>
  <si>
    <t xml:space="preserve">Distress: paying users per satellite &lt;= 2.5mm</t>
  </si>
  <si>
    <t xml:space="preserve">Capacity plausibility (A2-04).</t>
  </si>
  <si>
    <t xml:space="preserve">Distress: converted instruments all have K &lt; value per share</t>
  </si>
  <si>
    <t xml:space="preserve">Dilution engine is value-consistent.</t>
  </si>
  <si>
    <t xml:space="preserve">Bear: discount factors strictly decreasing</t>
  </si>
  <si>
    <t xml:space="preserve">Bear: fleet never negative</t>
  </si>
  <si>
    <t xml:space="preserve">Bear: NOL pool never negative</t>
  </si>
  <si>
    <t xml:space="preserve">Bear: CIP credit used &lt;= pool</t>
  </si>
  <si>
    <t xml:space="preserve">Bear: EBITDA margin 2040 within 40-75% (or scenario is Distress)</t>
  </si>
  <si>
    <t xml:space="preserve">Bear: revenue CAGR 2036-40 within g +/- 1.5pp (or Distress)</t>
  </si>
  <si>
    <t xml:space="preserve">Bear: paying users per satellite &lt;= 2.5mm</t>
  </si>
  <si>
    <t xml:space="preserve">Bear: converted instruments all have K &lt; value per share</t>
  </si>
  <si>
    <t xml:space="preserve">Base: discount factors strictly decreasing</t>
  </si>
  <si>
    <t xml:space="preserve">Base: fleet never negative</t>
  </si>
  <si>
    <t xml:space="preserve">Base: NOL pool never negative</t>
  </si>
  <si>
    <t xml:space="preserve">Base: CIP credit used &lt;= pool</t>
  </si>
  <si>
    <t xml:space="preserve">Base: EBITDA margin 2040 within 40-75% (or scenario is Distress)</t>
  </si>
  <si>
    <t xml:space="preserve">Base: revenue CAGR 2036-40 within g +/- 1.5pp (or Distress)</t>
  </si>
  <si>
    <t xml:space="preserve">Base: paying users per satellite &lt;= 2.5mm</t>
  </si>
  <si>
    <t xml:space="preserve">Base: converted instruments all have K &lt; value per share</t>
  </si>
  <si>
    <t xml:space="preserve">Bull: discount factors strictly decreasing</t>
  </si>
  <si>
    <t xml:space="preserve">Bull: fleet never negative</t>
  </si>
  <si>
    <t xml:space="preserve">Bull: NOL pool never negative</t>
  </si>
  <si>
    <t xml:space="preserve">Bull: CIP credit used &lt;= pool</t>
  </si>
  <si>
    <t xml:space="preserve">Bull: EBITDA margin 2040 within 40-75% (or scenario is Distress)</t>
  </si>
  <si>
    <t xml:space="preserve">Bull: revenue CAGR 2036-40 within g +/- 1.5pp (or Distress)</t>
  </si>
  <si>
    <t xml:space="preserve">Bull: paying users per satellite &lt;= 2.5mm</t>
  </si>
  <si>
    <t xml:space="preserve">Bull: converted instruments all have K &lt; value per share</t>
  </si>
  <si>
    <t xml:space="preserve">Base FY2026 revenue within guidance ($150-200mm)</t>
  </si>
  <si>
    <t xml:space="preserve">Near-term anchor to management guidance.</t>
  </si>
  <si>
    <t xml:space="preserve">Scenario ordering: Distress &lt;= Bear &lt;= Base &lt;= Bull</t>
  </si>
  <si>
    <t xml:space="preserve">Monotonic scenarios; catches broken scenario wiring.</t>
  </si>
  <si>
    <t xml:space="preserve">Base implied terminal EV/EBITDA within 5-15x</t>
  </si>
  <si>
    <t xml:space="preserve">Cross-check Gordon TV vs trading multiples.</t>
  </si>
  <si>
    <t xml:space="preserve">Beta regression uses &gt;= 100 weekly observations</t>
  </si>
  <si>
    <t xml:space="preserve">Statistical adequacy.</t>
  </si>
  <si>
    <t xml:space="preserve">REVIEW LOG - agent findings, challenges and resolutions</t>
  </si>
  <si>
    <t xml:space="preserve">A1 = Lead Financial Analyst, A2 = Quant/Data Analyst, A3 = Senior Model Reviewer. One model ran all three roles; reviews were made real via an independently coded engine and executable tests.</t>
  </si>
  <si>
    <t xml:space="preserve">ID</t>
  </si>
  <si>
    <t xml:space="preserve">Raised</t>
  </si>
  <si>
    <t xml:space="preserve">Finding / challenge</t>
  </si>
  <si>
    <t xml:space="preserve">Evidence &amp; reasoning</t>
  </si>
  <si>
    <t xml:space="preserve">Resolution</t>
  </si>
  <si>
    <t xml:space="preserve">Status</t>
  </si>
  <si>
    <t xml:space="preserve">R-01</t>
  </si>
  <si>
    <t xml:space="preserve">A2</t>
  </si>
  <si>
    <t xml:space="preserve">Regression beta is statistically weak; A3 separately argued ~10.5% Ke is too low for a pre-commercial firm.</t>
  </si>
  <si>
    <t xml:space="preserve">Raw beta 1.42, SE 0.60 (95% CI 0.24-2.60), R2 5%; yr1 1.04 vs yr2 2.17. CAPM prices only systematic risk.</t>
  </si>
  <si>
    <t xml:space="preserve">Blume-adjusted beta (1.28), live from IBKR data. Failure risk handled via explicit Distress/Bear scenarios, not a hand-inflated rate (avoids double count). WACC+/-2pp shown live.</t>
  </si>
  <si>
    <t xml:space="preserve">Resolved</t>
  </si>
  <si>
    <t xml:space="preserve">R-02</t>
  </si>
  <si>
    <t xml:space="preserve">Final weekly bar is a partial week.</t>
  </si>
  <si>
    <t xml:space="preserve">Bar dated 8-Sep-2026 closes mid-week.</t>
  </si>
  <si>
    <t xml:space="preserve">Excluded from regression and vol; retained as current price.</t>
  </si>
  <si>
    <t xml:space="preserve">R-03</t>
  </si>
  <si>
    <t xml:space="preserve">Should Bear/Distress carry higher WACCs?</t>
  </si>
  <si>
    <t xml:space="preserve">Scenario dispersion is cash-flow risk; CAPM rate should not vary by scenario.</t>
  </si>
  <si>
    <t xml:space="preserve">Single WACC path for all scenarios.</t>
  </si>
  <si>
    <t xml:space="preserve">R-04</t>
  </si>
  <si>
    <t xml:space="preserve">A3</t>
  </si>
  <si>
    <t xml:space="preserve">$1,724mm of satellite CIP is already paid: ignoring it double-counts capex; full credit may overstate.</t>
  </si>
  <si>
    <t xml:space="preserve">CIP also holds NRE, early-unit overruns and later launch deposits (10-Q Note 4).</t>
  </si>
  <si>
    <t xml:space="preserve">Base credits 50% (MC 25-75%). Tornado: +/- ~$1/sh - second-order.</t>
  </si>
  <si>
    <t xml:space="preserve">R-05</t>
  </si>
  <si>
    <t xml:space="preserve">Up-C: Class B/C shares represent exchangeable AST LLC units.</t>
  </si>
  <si>
    <t xml:space="preserve">Using Class A only (299.8mm) would overstate $/sh by ~30%.</t>
  </si>
  <si>
    <t xml:space="preserve">S0 = A+B+C = 389.2mm; check ties to 10-Q cover.</t>
  </si>
  <si>
    <t xml:space="preserve">R-06</t>
  </si>
  <si>
    <t xml:space="preserve">SBC ($63.5mm/qtr) must not be added back.</t>
  </si>
  <si>
    <t xml:space="preserve">SBC is a real transfer to employees.</t>
  </si>
  <si>
    <t xml:space="preserve">SBC deducted in EBITDA/FCFF; existing unvested RSUs also counted in shares (small overlap - conservative).</t>
  </si>
  <si>
    <t xml:space="preserve">R-07</t>
  </si>
  <si>
    <t xml:space="preserve">Convert dilution depends on value per share -&gt; circularity risk.</t>
  </si>
  <si>
    <t xml:space="preserve">Excel circular refs are fragile and order-dependent if sorted.</t>
  </si>
  <si>
    <t xml:space="preserve">Proved: prefix converts iff value-with-prefix &gt; its K; SUMIF formulation is order-independent, no circular refs. Verified in 12 break tests.</t>
  </si>
  <si>
    <t xml:space="preserve">R-08</t>
  </si>
  <si>
    <t xml:space="preserve">Restricted cash $428.4mm is collateral for $420mm UBS bridge.</t>
  </si>
  <si>
    <t xml:space="preserve">10-Q Note 3.</t>
  </si>
  <si>
    <t xml:space="preserve">Both included so they net; excluded from 'available liquidity' in Risk.</t>
  </si>
  <si>
    <t xml:space="preserve">R-09</t>
  </si>
  <si>
    <t xml:space="preserve">A1</t>
  </si>
  <si>
    <t xml:space="preserve">2034 notes carry a capped call ($79.57 -&gt; $149.20).</t>
  </si>
  <si>
    <t xml:space="preserve">Pricing 8-K Jul-2026.</t>
  </si>
  <si>
    <t xml:space="preserve">Trigger = cap, D = n x cap. Capped-call time value and 2.375% capped call ignored (conservative).</t>
  </si>
  <si>
    <t xml:space="preserve">Documented</t>
  </si>
  <si>
    <t xml:space="preserve">R-10</t>
  </si>
  <si>
    <t xml:space="preserve">Contract liabilities ($266.9mm) are revenue already received in cash.</t>
  </si>
  <si>
    <t xml:space="preserve">10-Q revenue note.</t>
  </si>
  <si>
    <t xml:space="preserve">Deducted as non-cash revenue unwind over 2027-31.</t>
  </si>
  <si>
    <t xml:space="preserve">R-11</t>
  </si>
  <si>
    <t xml:space="preserve">Ligado spectrum commitments missing from naive models.</t>
  </si>
  <si>
    <t xml:space="preserve">10-K: $550mm at closing, &gt;= $80mm/yr, revenue share.</t>
  </si>
  <si>
    <t xml:space="preserve">Included; revenue-share % not disclosed (3% placeholder, flagged).</t>
  </si>
  <si>
    <t xml:space="preserve">Open (data)</t>
  </si>
  <si>
    <t xml:space="preserve">A3-01</t>
  </si>
  <si>
    <t xml:space="preserve">Explicit revenue declined 2036-40 while TV assumed +2.5%.</t>
  </si>
  <si>
    <t xml:space="preserve">ARPU erosion applied forever; adoption saturated.</t>
  </si>
  <si>
    <t xml:space="preserve">Repricing limited to 2027-32; long-run ARPU +1.5%, partner base +1%. Live CAGR-vs-g check added.</t>
  </si>
  <si>
    <t xml:space="preserve">Fixed</t>
  </si>
  <si>
    <t xml:space="preserve">A3-02</t>
  </si>
  <si>
    <t xml:space="preserve">Base EBITDA margin 61-65% exceeded Iridium 56.8%.</t>
  </si>
  <si>
    <t xml:space="preserve">Network costs did not scale with fleet.</t>
  </si>
  <si>
    <t xml:space="preserve">Added $2mm/sat/yr network opex. Remaining 64% accepted (pure wholesale model); 40-75% bound check.</t>
  </si>
  <si>
    <t xml:space="preserve">A2-01</t>
  </si>
  <si>
    <t xml:space="preserve">Bear EV turned negative; DCF forces uneconomic reinvestment.</t>
  </si>
  <si>
    <t xml:space="preserve">No abandonment option in a fixed-plan DCF.</t>
  </si>
  <si>
    <t xml:space="preserve">Equity floored at 0 (limited liability); Distress/Bear values are conservative lower bounds.</t>
  </si>
  <si>
    <t xml:space="preserve">A2-02</t>
  </si>
  <si>
    <t xml:space="preserve">Iridium benchmark is survivorship-biased.</t>
  </si>
  <si>
    <t xml:space="preserve">Original Iridium, Globalstar, ORBCOMM all went bankrupt.</t>
  </si>
  <si>
    <t xml:space="preserve">40% combined probability on Distress+Bear (both ~$0-1/sh).</t>
  </si>
  <si>
    <t xml:space="preserve">A2-03</t>
  </si>
  <si>
    <t xml:space="preserve">Terminal year sits on a lumpy replacement wave.</t>
  </si>
  <si>
    <t xml:space="preserve">Replacements cluster 2033-35, 2040.</t>
  </si>
  <si>
    <t xml:space="preserve">TV uses normalised replacement capex = fleet / life / (1-loss) x unit cost.</t>
  </si>
  <si>
    <t xml:space="preserve">A2-04</t>
  </si>
  <si>
    <t xml:space="preserve">Revenue must respect network capacity.</t>
  </si>
  <si>
    <t xml:space="preserve">Block 2: ~2,000 cells/sat.</t>
  </si>
  <si>
    <t xml:space="preserve">Users-per-satellite plausibility check (&lt;= 2.5mm); Base peak ~1.6mm.</t>
  </si>
  <si>
    <t xml:space="preserve">A3-03</t>
  </si>
  <si>
    <t xml:space="preserve">Capex timed at launch, not when paid.</t>
  </si>
  <si>
    <t xml:space="preserve">Test: paying one period earlier = -426 $mm PV.</t>
  </si>
  <si>
    <t xml:space="preserve">Base $57.40 -&gt; $56.35 (-1.8%). Documented, not modelled.</t>
  </si>
  <si>
    <t xml:space="preserve">A3-04</t>
  </si>
  <si>
    <t xml:space="preserve">Checks passed on first run - are they capable of failing?</t>
  </si>
  <si>
    <t xml:space="preserve">Untested tests prove nothing.</t>
  </si>
  <si>
    <t xml:space="preserve">12 break-tests (stress.py): every intended check fired; workbook = engine to 1e-14 in all cases.</t>
  </si>
  <si>
    <t xml:space="preserve">A3-05</t>
  </si>
  <si>
    <t xml:space="preserve">Sensitivity g-axis hard-coded; grid silently de-centred when g changed.</t>
  </si>
  <si>
    <t xml:space="preserve">Surfaced by g = 6% break test.</t>
  </si>
  <si>
    <t xml:space="preserve">Axis now = live g +/- offsets; centre check holds.</t>
  </si>
  <si>
    <t xml:space="preserve">A2-05</t>
  </si>
  <si>
    <t xml:space="preserve">Triangulate scenario weighting vs simulation.</t>
  </si>
  <si>
    <t xml:space="preserve">MC mean $55.23 vs prob-weighted $52.88.</t>
  </si>
  <si>
    <t xml:space="preserve">Agreement within 5%; both reported.</t>
  </si>
  <si>
    <t xml:space="preserve">A2-06</t>
  </si>
  <si>
    <t xml:space="preserve">MC robustness.</t>
  </si>
  <si>
    <t xml:space="preserve">Correlation matrix PSD (min eig 0.24); SE of mean $0.41; running mean converged.</t>
  </si>
  <si>
    <t xml:space="preserve">20,000 paths, fixed seed - reproducible.</t>
  </si>
  <si>
    <t xml:space="preserve">A3-06</t>
  </si>
  <si>
    <t xml:space="preserve">Stale equity-award counts.</t>
  </si>
  <si>
    <t xml:space="preserve">AST LLC options (Jun-2025) and 2024-Plan RSUs (Dec-2025) are latest found.</t>
  </si>
  <si>
    <t xml:space="preserve">Flagged in Capital_Structure. Each +1mm shares ~ -0.25% per share.</t>
  </si>
  <si>
    <t xml:space="preserve">A3-07</t>
  </si>
  <si>
    <t xml:space="preserve">Possible Tax Receivable Agreement (common in Up-C).</t>
  </si>
  <si>
    <t xml:space="preserve">Not confirmed in sources reviewed.</t>
  </si>
  <si>
    <t xml:space="preserve">Not modelled; would reduce value if present. Confirm in 10-K.</t>
  </si>
  <si>
    <t xml:space="preserve">A3-08</t>
  </si>
  <si>
    <t xml:space="preserve">Look-ahead / anchoring bias.</t>
  </si>
  <si>
    <t xml:space="preserve">All inputs dated &lt;= 10-Sep-2026.</t>
  </si>
  <si>
    <t xml:space="preserve">No parameter calibrated to price; reverse DCF reported separately.</t>
  </si>
  <si>
    <t xml:space="preserve">Pass</t>
  </si>
  <si>
    <t xml:space="preserve">A2-07</t>
  </si>
  <si>
    <t xml:space="preserve">Overfitting.</t>
  </si>
  <si>
    <t xml:space="preserve">Only beta estimated from history; shown with SE.</t>
  </si>
  <si>
    <t xml:space="preserve">No curve-fitting of forecasts.</t>
  </si>
  <si>
    <t xml:space="preserve">A3-09</t>
  </si>
  <si>
    <t xml:space="preserve">Currency consistency.</t>
  </si>
  <si>
    <t xml:space="preserve">All figures USD (NASDAQ, SEC filings); holder reports in CAD.</t>
  </si>
  <si>
    <t xml:space="preserve">Model in USD; convert at spot for portfolio use.</t>
  </si>
  <si>
    <t xml:space="preserve">A3-10</t>
  </si>
  <si>
    <t xml:space="preserve">Liquidity test ignores committed financing for the Ligado payment.</t>
  </si>
  <si>
    <t xml:space="preserve">10-K: $550mm non-recourse delayed-draw SPV commitment.</t>
  </si>
  <si>
    <t xml:space="preserve">Noted on Risk sheet (Base headroom -$78mm -&gt; ~+$472mm with facility). Valuation unaffected (FCFF).</t>
  </si>
  <si>
    <t xml:space="preserve">A3-11</t>
  </si>
  <si>
    <t xml:space="preserve">Probability-weighting EV mixes in negative Distress EV (-$12bn).</t>
  </si>
  <si>
    <t xml:space="preserve">Violates limited liability; averages a non-claim.</t>
  </si>
  <si>
    <t xml:space="preserve">Only floored per-share values are weighted; weighted EV/equity removed from summary and dashboard.</t>
  </si>
  <si>
    <t xml:space="preserve">A1-01</t>
  </si>
  <si>
    <t xml:space="preserve">100% bonus depreciation (OBBBA 2025) drives cash taxes.</t>
  </si>
  <si>
    <t xml:space="preserve">Tested bonus OFF in break tests.</t>
  </si>
  <si>
    <t xml:space="preserve">Prob-weighted value moves &lt; 1%; keep ON, verify with tax adviser.</t>
  </si>
  <si>
    <t xml:space="preserve">DATA SOURCES</t>
  </si>
  <si>
    <t xml:space="preserve">Every hard-coded fact in Inputs / Capital_Structure / Market_Data traces to one of these.</t>
  </si>
  <si>
    <t xml:space="preserve">Q2-2026 Form 10-Q (balance sheet, debt note, shares, PP&amp;E)</t>
  </si>
  <si>
    <t xml:space="preserve">https://www.sec.gov/Archives/edgar/data/1780312/000119312526342550/asts-20260630.htm</t>
  </si>
  <si>
    <t xml:space="preserve">Q2-2026 business update deck (8-K ex. 99.2)</t>
  </si>
  <si>
    <t xml:space="preserve">https://www.sec.gov/Archives/edgar/data/0001780312/000119312526342540/asts-ex99_2.htm</t>
  </si>
  <si>
    <t xml:space="preserve">2034 1.625% notes pricing (8-K ex. 99.1, Jul-2026)</t>
  </si>
  <si>
    <t xml:space="preserve">https://www.sec.gov/Archives/edgar/data/0001780312/000149315226033912/ex99-1.htm</t>
  </si>
  <si>
    <t xml:space="preserve">2034 notes closing / net proceeds</t>
  </si>
  <si>
    <t xml:space="preserve">https://www.businesswire.com/news/home/20260721294685/en/</t>
  </si>
  <si>
    <t xml:space="preserve">2036 2.25% notes pricing (8-K, Feb-2026)</t>
  </si>
  <si>
    <t xml:space="preserve">https://www.sec.gov/Archives/edgar/data/1780312/000149315226007126/ex99-1.htm</t>
  </si>
  <si>
    <t xml:space="preserve">2036 2.00% notes conversion price</t>
  </si>
  <si>
    <t xml:space="preserve">https://app.dealroom.co/news/feed/ast-spacemobile-prices-1b-convertible-notes-offering-up-from-850m</t>
  </si>
  <si>
    <t xml:space="preserve">2032 4.25% notes terms (8-K, Jan-2025)</t>
  </si>
  <si>
    <t xml:space="preserve">https://www.sec.gov/Archives/edgar/data/1780312/000149315225003793/ex99-1.htm</t>
  </si>
  <si>
    <t xml:space="preserve">FY2025 Form 10-K (Ligado commitments, launch commitments)</t>
  </si>
  <si>
    <t xml:space="preserve">https://www.sec.gov/Archives/edgar/data/1780312/000178031226000006/asts-20251231.htm</t>
  </si>
  <si>
    <t xml:space="preserve">Q1-2026 Form 10-Q (2020 Plan options)</t>
  </si>
  <si>
    <t xml:space="preserve">https://www.sec.gov/Archives/edgar/data/0001780312/000119312526216950/asts-20260331.htm</t>
  </si>
  <si>
    <t xml:space="preserve">Q2-2026 earnings call ($21-23mm/sat, 45-60 sats, guidance)</t>
  </si>
  <si>
    <t xml:space="preserve">https://www.fool.com/earnings/call-transcripts/2026/08/17/ast-spacemobile-asts-q2-2026-earnings-call-transcript/</t>
  </si>
  <si>
    <t xml:space="preserve">BlueBird Block 2 lifetime (secondary)</t>
  </si>
  <si>
    <t xml:space="preserve">https://space.skyrocket.de/doc_sdat/bluebird-2.htm</t>
  </si>
  <si>
    <t xml:space="preserve">Interactive Brokers API - weekly OHLCV ASTS (conid 480745767), SPY (756733)</t>
  </si>
  <si>
    <t xml:space="preserve">Retrieved via connected IBKR account, 10-Sep-2026</t>
  </si>
  <si>
    <t xml:space="preserve">10-year Treasury yield 4.84% (10-Sep-2026)</t>
  </si>
  <si>
    <t xml:space="preserve">https://tradingeconomics.com/united-states/government-bond-yield</t>
  </si>
  <si>
    <t xml:space="preserve">Damodaran implied ERP 4.42% (1-Jul-2026)</t>
  </si>
  <si>
    <t xml:space="preserve">https://aswathdamodaran.blogspot.com/2026/07/country-risk-drivers-measures-and.html</t>
  </si>
  <si>
    <t xml:space="preserve">Iridium FY2025 results (margin benchmark)</t>
  </si>
  <si>
    <t xml:space="preserve">https://investor.iridium.com/2026-02-12-Iridium-Announces-2025-Results-Issues-2026-Outlook</t>
  </si>
  <si>
    <t xml:space="preserve">T-Mobile T-Satellite pricing ($10/mo)</t>
  </si>
  <si>
    <t xml:space="preserve">https://www.t-mobile.com/coverage/satellite-phone-service</t>
  </si>
  <si>
    <t xml:space="preserve">METHODOLOGY, USAGE &amp; LIMITATIONS</t>
  </si>
  <si>
    <t xml:space="preserve">HOW TO USE</t>
  </si>
  <si>
    <t xml:space="preserve">Edit blue cells on Inputs only (scenario columns D-G; globals in D). Everything else recalculates. Confirm Checks!C3 reads ALL PASS.</t>
  </si>
  <si>
    <t xml:space="preserve">Monte Carlo, tornado, 2-D grids and reverse DCF are stamped values from analytics.py; re-run after changing inputs.</t>
  </si>
  <si>
    <t xml:space="preserve">METHOD</t>
  </si>
  <si>
    <t xml:space="preserve">Unlevered DCF (FCFF) from 1-Jul-2026, valued at 10-Sep-2026, mid-period discounting with a period-specific WACC (growth phase fading 2031-35 to mature).</t>
  </si>
  <si>
    <t xml:space="preserve">Revenue: MNO wholesale revenue share = partner base x coverage(fleet) x logistic adoption x ASTS ARPU; plus government and gateway revenue.</t>
  </si>
  <si>
    <t xml:space="preserve">Constellation: fleet targets drive launches, cohort retirements after design life, launch losses, and CIP pre-funding credit.</t>
  </si>
  <si>
    <t xml:space="preserve">Tax: NOL pool with 80% cap; 100% bonus depreciation (switchable). Terminal: Gordon growth on normalised 2041 FCFF (steady-state replacement capex).</t>
  </si>
  <si>
    <t xml:space="preserve">Equity: EV + liquid assets - debt - converts at face, then an order-independent, value-consistent dilution engine converts instruments whose trigger &lt; value.</t>
  </si>
  <si>
    <t xml:space="preserve">Four scenarios are all live; value is probability-weighted. Per-share values are floored at zero (limited liability).</t>
  </si>
  <si>
    <t xml:space="preserve">KEY LIMITATIONS (see Review_Log for full list)</t>
  </si>
  <si>
    <t xml:space="preserve">1. Forward drivers (adoption, ARPU, opex) are judgement - no one has observed mature D2D broadband economics. Tier-1 take rate dominates value.</t>
  </si>
  <si>
    <t xml:space="preserve">2. Fixed-plan DCF ignores management flexibility (abandonment/scale-back) - Distress/Bear values understate true option value of equity.</t>
  </si>
  <si>
    <t xml:space="preserve">3. Capital raises assumed at fair value; raising below intrinsic value would dilute further (see Risk funding gap).</t>
  </si>
  <si>
    <t xml:space="preserve">4. Ligado revenue-share %, possible Tax Receivable Agreement, and two stale award counts are unverified (Open items).</t>
  </si>
  <si>
    <t xml:space="preserve">5. Capex timed at launch (~-1.8% per-share impact if paid a year earlier). Block 1 satellites ignored for coverage (conservative).</t>
  </si>
  <si>
    <t xml:space="preserve">6. USD throughout. Not investment advice: this is an analytical model, and the author is not a financial adviser.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</si>
</sst>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\$#,##0.00;&quot;($&quot;#,##0.00\);\-"/>
    <numFmt numFmtId="166" formatCode="0.0%;\(0.0%\);\-"/>
    <numFmt numFmtId="167" formatCode="#,##0.0;\(#,##0.0\);\-"/>
    <numFmt numFmtId="168" formatCode="0.00\x"/>
    <numFmt numFmtId="169" formatCode="0.0000"/>
    <numFmt numFmtId="170" formatCode="0.00%;\(0.00%\);\-"/>
    <numFmt numFmtId="171" formatCode="0"/>
    <numFmt numFmtId="172" formatCode="0.0"/>
    <numFmt numFmtId="173" formatCode="#,##0;\(#,##0\);\-"/>
    <numFmt numFmtId="174" formatCode="#,##0.0"/>
    <numFmt numFmtId="175" formatCode="\$0.00"/>
    <numFmt numFmtId="176" formatCode="General"/>
    <numFmt numFmtId="177" formatCode="0.000"/>
    <numFmt numFmtId="178" formatCode="0%"/>
    <numFmt numFmtId="179" formatCode="0.0%"/>
    <numFmt numFmtId="180" formatCode="0.00%"/>
    <numFmt numFmtId="181" formatCode="0.00"/>
    <numFmt numFmtId="182" formatCode="#,##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A5A4"/>
      <rgbColor rgb="FF808080"/>
      <rgbColor rgb="FF9999FF"/>
      <rgbColor rgb="FF9D3E3B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000"/>
      <rgbColor rgb="FFFF9900"/>
      <rgbColor rgb="FFFF6600"/>
      <rgbColor rgb="FF595959"/>
      <rgbColor rgb="FF878787"/>
      <rgbColor rgb="FF1F3864"/>
      <rgbColor rgb="FF00B050"/>
      <rgbColor rgb="FF003300"/>
      <rgbColor rgb="FF333300"/>
      <rgbColor rgb="FF993300"/>
      <rgbColor rgb="FFBE4B48"/>
      <rgbColor rgb="FF7030A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Value per share by scenario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"$/share"</c:f>
              <c:strCache>
                <c:ptCount val="1"/>
                <c:pt idx="0">
                  <c:v>$/share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Dashboard!$B$20:$E$20</c:f>
              <c:multiLvlStrCache>
                <c:ptCount val="1"/>
                <c:lvl>
                  <c:pt idx="0">
                    <c:v>Bull</c:v>
                  </c:pt>
                </c:lvl>
                <c:lvl>
                  <c:pt idx="0">
                    <c:v>Base</c:v>
                  </c:pt>
                </c:lvl>
                <c:lvl>
                  <c:pt idx="0">
                    <c:v>Bear</c:v>
                  </c:pt>
                </c:lvl>
                <c:lvl>
                  <c:pt idx="0">
                    <c:v>Distress</c:v>
                  </c:pt>
                </c:lvl>
              </c:multiLvlStrCache>
            </c:multiLvlStrRef>
          </c:cat>
          <c:val>
            <c:numRef>
              <c:f>Dashboard!$B$22:$E$22</c:f>
              <c:numCache>
                <c:formatCode>\$#,##0.00;"($"#,##0.00\);\-</c:formatCode>
                <c:ptCount val="4"/>
                <c:pt idx="0">
                  <c:v>0</c:v>
                </c:pt>
                <c:pt idx="1">
                  <c:v>1.18789338189308</c:v>
                </c:pt>
                <c:pt idx="2">
                  <c:v>57.3981806172759</c:v>
                </c:pt>
                <c:pt idx="3">
                  <c:v>148.11354040535</c:v>
                </c:pt>
              </c:numCache>
            </c:numRef>
          </c:val>
        </c:ser>
        <c:gapWidth val="150"/>
        <c:overlap val="0"/>
        <c:axId val="46377521"/>
        <c:axId val="53097367"/>
      </c:barChart>
      <c:catAx>
        <c:axId val="463775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97367"/>
        <c:crosses val="autoZero"/>
        <c:auto val="1"/>
        <c:lblAlgn val="ctr"/>
        <c:lblOffset val="100"/>
        <c:noMultiLvlLbl val="0"/>
      </c:catAx>
      <c:valAx>
        <c:axId val="530973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3775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Base case: revenue, EBITDA, FCFF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9d3e3b"/>
            </a:solidFill>
            <a:ln w="4752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Calc_Base!$D$5:$R$5</c:f>
              <c:multiLvlStrCache>
                <c:ptCount val="1"/>
                <c:lvl>
                  <c:pt idx="0">
                    <c:v>2040</c:v>
                  </c:pt>
                </c:lvl>
                <c:lvl>
                  <c:pt idx="0">
                    <c:v>2039</c:v>
                  </c:pt>
                </c:lvl>
                <c:lvl>
                  <c:pt idx="0">
                    <c:v>2038</c:v>
                  </c:pt>
                </c:lvl>
                <c:lvl>
                  <c:pt idx="0">
                    <c:v>2037</c:v>
                  </c:pt>
                </c:lvl>
                <c:lvl>
                  <c:pt idx="0">
                    <c:v>2036</c:v>
                  </c:pt>
                </c:lvl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2026H2</c:v>
                  </c:pt>
                </c:lvl>
              </c:multiLvlStrCache>
            </c:multiLvlStrRef>
          </c:cat>
          <c:val>
            <c:numRef>
              <c:f>Calc_Base!$D$37:$R$37</c:f>
              <c:numCache>
                <c:formatCode>#,##0.0;\(#,##0.0\);\-</c:formatCode>
                <c:ptCount val="15"/>
                <c:pt idx="0">
                  <c:v>128.7</c:v>
                </c:pt>
                <c:pt idx="1">
                  <c:v>422.399111016008</c:v>
                </c:pt>
                <c:pt idx="2">
                  <c:v>1088.0371710457</c:v>
                </c:pt>
                <c:pt idx="3">
                  <c:v>2034.04513444074</c:v>
                </c:pt>
                <c:pt idx="4">
                  <c:v>3252.79224401564</c:v>
                </c:pt>
                <c:pt idx="5">
                  <c:v>4265.09257517513</c:v>
                </c:pt>
                <c:pt idx="6">
                  <c:v>4918.09366232295</c:v>
                </c:pt>
                <c:pt idx="7">
                  <c:v>5396.47398885304</c:v>
                </c:pt>
                <c:pt idx="8">
                  <c:v>5704.11611150006</c:v>
                </c:pt>
                <c:pt idx="9">
                  <c:v>5926.91537622146</c:v>
                </c:pt>
                <c:pt idx="10">
                  <c:v>6115.19807948023</c:v>
                </c:pt>
                <c:pt idx="11">
                  <c:v>6292.42821210926</c:v>
                </c:pt>
                <c:pt idx="12">
                  <c:v>6468.44394240131</c:v>
                </c:pt>
                <c:pt idx="13">
                  <c:v>6647.24862638266</c:v>
                </c:pt>
                <c:pt idx="14">
                  <c:v>6830.51304121362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Calc_Base!$D$5:$R$5</c:f>
              <c:multiLvlStrCache>
                <c:ptCount val="1"/>
                <c:lvl>
                  <c:pt idx="0">
                    <c:v>2040</c:v>
                  </c:pt>
                </c:lvl>
                <c:lvl>
                  <c:pt idx="0">
                    <c:v>2039</c:v>
                  </c:pt>
                </c:lvl>
                <c:lvl>
                  <c:pt idx="0">
                    <c:v>2038</c:v>
                  </c:pt>
                </c:lvl>
                <c:lvl>
                  <c:pt idx="0">
                    <c:v>2037</c:v>
                  </c:pt>
                </c:lvl>
                <c:lvl>
                  <c:pt idx="0">
                    <c:v>2036</c:v>
                  </c:pt>
                </c:lvl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2026H2</c:v>
                  </c:pt>
                </c:lvl>
              </c:multiLvlStrCache>
            </c:multiLvlStrRef>
          </c:cat>
          <c:val>
            <c:numRef>
              <c:f>Calc_Base!$D$49:$R$49</c:f>
              <c:numCache>
                <c:formatCode>#,##0.0;\(#,##0.0\);\-</c:formatCode>
                <c:ptCount val="15"/>
                <c:pt idx="0">
                  <c:v>-311.065</c:v>
                </c:pt>
                <c:pt idx="1">
                  <c:v>-631.960755636393</c:v>
                </c:pt>
                <c:pt idx="2">
                  <c:v>-134.168404611159</c:v>
                </c:pt>
                <c:pt idx="3">
                  <c:v>641.615346433796</c:v>
                </c:pt>
                <c:pt idx="4">
                  <c:v>1653.36847108026</c:v>
                </c:pt>
                <c:pt idx="5">
                  <c:v>2510.5092735337</c:v>
                </c:pt>
                <c:pt idx="6">
                  <c:v>3024.20946877317</c:v>
                </c:pt>
                <c:pt idx="7">
                  <c:v>3392.52496972526</c:v>
                </c:pt>
                <c:pt idx="8">
                  <c:v>3619.23602616361</c:v>
                </c:pt>
                <c:pt idx="9">
                  <c:v>3774.70845974347</c:v>
                </c:pt>
                <c:pt idx="10">
                  <c:v>3900.45757408165</c:v>
                </c:pt>
                <c:pt idx="11">
                  <c:v>4015.8711195198</c:v>
                </c:pt>
                <c:pt idx="12">
                  <c:v>4129.05861501683</c:v>
                </c:pt>
                <c:pt idx="13">
                  <c:v>4243.29090151276</c:v>
                </c:pt>
                <c:pt idx="14">
                  <c:v>4359.90195475183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"FCFF"</c:f>
              <c:strCache>
                <c:ptCount val="1"/>
                <c:pt idx="0">
                  <c:v>FCFF</c:v>
                </c:pt>
              </c:strCache>
            </c:strRef>
          </c:tx>
          <c:spPr>
            <a:solidFill>
              <a:srgbClr val="d4a5a4"/>
            </a:solidFill>
            <a:ln w="4752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Calc_Base!$D$5:$R$5</c:f>
              <c:multiLvlStrCache>
                <c:ptCount val="1"/>
                <c:lvl>
                  <c:pt idx="0">
                    <c:v>2040</c:v>
                  </c:pt>
                </c:lvl>
                <c:lvl>
                  <c:pt idx="0">
                    <c:v>2039</c:v>
                  </c:pt>
                </c:lvl>
                <c:lvl>
                  <c:pt idx="0">
                    <c:v>2038</c:v>
                  </c:pt>
                </c:lvl>
                <c:lvl>
                  <c:pt idx="0">
                    <c:v>2037</c:v>
                  </c:pt>
                </c:lvl>
                <c:lvl>
                  <c:pt idx="0">
                    <c:v>2036</c:v>
                  </c:pt>
                </c:lvl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2026H2</c:v>
                  </c:pt>
                </c:lvl>
              </c:multiLvlStrCache>
            </c:multiLvlStrRef>
          </c:cat>
          <c:val>
            <c:numRef>
              <c:f>Calc_Base!$D$68:$R$68</c:f>
              <c:numCache>
                <c:formatCode>#,##0.0;\(#,##0.0\);\-</c:formatCode>
                <c:ptCount val="15"/>
                <c:pt idx="0">
                  <c:v>-469.3095</c:v>
                </c:pt>
                <c:pt idx="1">
                  <c:v>-1878.39691645035</c:v>
                </c:pt>
                <c:pt idx="2">
                  <c:v>-1065.57374971791</c:v>
                </c:pt>
                <c:pt idx="3">
                  <c:v>434.680914275687</c:v>
                </c:pt>
                <c:pt idx="4">
                  <c:v>1365.50484642639</c:v>
                </c:pt>
                <c:pt idx="5">
                  <c:v>2161.26038823988</c:v>
                </c:pt>
                <c:pt idx="6">
                  <c:v>2416.55190742981</c:v>
                </c:pt>
                <c:pt idx="7">
                  <c:v>1928.81720623228</c:v>
                </c:pt>
                <c:pt idx="8">
                  <c:v>1895.28076014832</c:v>
                </c:pt>
                <c:pt idx="9">
                  <c:v>2097.17676228754</c:v>
                </c:pt>
                <c:pt idx="10">
                  <c:v>2787.50375527666</c:v>
                </c:pt>
                <c:pt idx="11">
                  <c:v>2870.6288649026</c:v>
                </c:pt>
                <c:pt idx="12">
                  <c:v>2951.61985271066</c:v>
                </c:pt>
                <c:pt idx="13">
                  <c:v>3033.13151450856</c:v>
                </c:pt>
                <c:pt idx="14">
                  <c:v>2565.559431449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36441"/>
        <c:axId val="22977302"/>
      </c:lineChart>
      <c:catAx>
        <c:axId val="54364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977302"/>
        <c:crosses val="autoZero"/>
        <c:auto val="1"/>
        <c:lblAlgn val="ctr"/>
        <c:lblOffset val="100"/>
        <c:noMultiLvlLbl val="0"/>
      </c:catAx>
      <c:valAx>
        <c:axId val="229773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364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Value per share by scenario vs price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"Value per share"</c:f>
              <c:strCache>
                <c:ptCount val="1"/>
                <c:pt idx="0">
                  <c:v>Value per share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Valuation_Summary!$B$4:$E$4</c:f>
              <c:multiLvlStrCache>
                <c:ptCount val="1"/>
                <c:lvl>
                  <c:pt idx="0">
                    <c:v>Bull</c:v>
                  </c:pt>
                </c:lvl>
                <c:lvl>
                  <c:pt idx="0">
                    <c:v>Base</c:v>
                  </c:pt>
                </c:lvl>
                <c:lvl>
                  <c:pt idx="0">
                    <c:v>Bear</c:v>
                  </c:pt>
                </c:lvl>
                <c:lvl>
                  <c:pt idx="0">
                    <c:v>Distress</c:v>
                  </c:pt>
                </c:lvl>
              </c:multiLvlStrCache>
            </c:multiLvlStrRef>
          </c:cat>
          <c:val>
            <c:numRef>
              <c:f>Valuation_Summary!$B$11:$E$11</c:f>
              <c:numCache>
                <c:formatCode>\$#,##0.00;"($"#,##0.00\);\-</c:formatCode>
                <c:ptCount val="4"/>
                <c:pt idx="0">
                  <c:v>0</c:v>
                </c:pt>
                <c:pt idx="1">
                  <c:v>1.18789338189308</c:v>
                </c:pt>
                <c:pt idx="2">
                  <c:v>57.3981806172759</c:v>
                </c:pt>
                <c:pt idx="3">
                  <c:v>148.11354040535</c:v>
                </c:pt>
              </c:numCache>
            </c:numRef>
          </c:val>
        </c:ser>
        <c:gapWidth val="150"/>
        <c:overlap val="0"/>
        <c:axId val="39582633"/>
        <c:axId val="6968309"/>
      </c:barChart>
      <c:catAx>
        <c:axId val="395826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68309"/>
        <c:crosses val="autoZero"/>
        <c:auto val="1"/>
        <c:lblAlgn val="ctr"/>
        <c:lblOffset val="100"/>
        <c:noMultiLvlLbl val="0"/>
      </c:catAx>
      <c:valAx>
        <c:axId val="69683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5826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Tornado: swing in Base $/share (P10-P90)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Sensitivity!F17</c:f>
              <c:strCache>
                <c:ptCount val="1"/>
                <c:pt idx="0">
                  <c:v>Swing $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Sensitivity!$A$18:$A$31</c:f>
              <c:strCache>
                <c:ptCount val="14"/>
                <c:pt idx="0">
                  <c:v>take_t1</c:v>
                </c:pt>
                <c:pt idx="1">
                  <c:v>wacc_shift</c:v>
                </c:pt>
                <c:pt idx="2">
                  <c:v>arpu_t1</c:v>
                </c:pt>
                <c:pt idx="3">
                  <c:v>take_t2</c:v>
                </c:pt>
                <c:pt idx="4">
                  <c:v>px_g</c:v>
                </c:pt>
                <c:pt idx="5">
                  <c:v>delay</c:v>
                </c:pt>
                <c:pt idx="6">
                  <c:v>opex_mult</c:v>
                </c:pt>
                <c:pt idx="7">
                  <c:v>var_cost</c:v>
                </c:pt>
                <c:pt idx="8">
                  <c:v>g</c:v>
                </c:pt>
                <c:pt idx="9">
                  <c:v>arpu_t2</c:v>
                </c:pt>
                <c:pt idx="10">
                  <c:v>gov_mult</c:v>
                </c:pt>
                <c:pt idx="11">
                  <c:v>sat_life</c:v>
                </c:pt>
                <c:pt idx="12">
                  <c:v>unit_cost</c:v>
                </c:pt>
                <c:pt idx="13">
                  <c:v>cip_credit</c:v>
                </c:pt>
              </c:strCache>
            </c:strRef>
          </c:cat>
          <c:val>
            <c:numRef>
              <c:f>Sensitivity!$F$18:$F$31</c:f>
              <c:numCache>
                <c:formatCode>\$#,##0.00;"($"#,##0.00\);\-</c:formatCode>
                <c:ptCount val="14"/>
                <c:pt idx="0">
                  <c:v>118.581632263443</c:v>
                </c:pt>
                <c:pt idx="1">
                  <c:v>35.6075071902182</c:v>
                </c:pt>
                <c:pt idx="2">
                  <c:v>26.2256512667473</c:v>
                </c:pt>
                <c:pt idx="3">
                  <c:v>19.9816933132271</c:v>
                </c:pt>
                <c:pt idx="4">
                  <c:v>10.0068333616374</c:v>
                </c:pt>
                <c:pt idx="5">
                  <c:v>9.47437023212883</c:v>
                </c:pt>
                <c:pt idx="6">
                  <c:v>6.72398153953002</c:v>
                </c:pt>
                <c:pt idx="7">
                  <c:v>6.31499465874209</c:v>
                </c:pt>
                <c:pt idx="8">
                  <c:v>5.29984037844562</c:v>
                </c:pt>
                <c:pt idx="9">
                  <c:v>5.04444065340188</c:v>
                </c:pt>
                <c:pt idx="10">
                  <c:v>5.0369311391999</c:v>
                </c:pt>
                <c:pt idx="11">
                  <c:v>2.88038545419244</c:v>
                </c:pt>
                <c:pt idx="12">
                  <c:v>1.77097365198097</c:v>
                </c:pt>
                <c:pt idx="13">
                  <c:v>1.57481399855401</c:v>
                </c:pt>
              </c:numCache>
            </c:numRef>
          </c:val>
        </c:ser>
        <c:gapWidth val="150"/>
        <c:overlap val="0"/>
        <c:axId val="50067598"/>
        <c:axId val="13738357"/>
      </c:barChart>
      <c:catAx>
        <c:axId val="5006759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738357"/>
        <c:crosses val="autoZero"/>
        <c:auto val="1"/>
        <c:lblAlgn val="ctr"/>
        <c:lblOffset val="100"/>
        <c:noMultiLvlLbl val="0"/>
      </c:catAx>
      <c:valAx>
        <c:axId val="137383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675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 of value per share (20,000 paths)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Monte_Carlo!B59</c:f>
              <c:strCache>
                <c:ptCount val="1"/>
                <c:pt idx="0">
                  <c:v>Paths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Monte_Carlo!$A$60:$A$89</c:f>
              <c:strCache>
                <c:ptCount val="30"/>
                <c:pt idx="0">
                  <c:v>0-10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50-60</c:v>
                </c:pt>
                <c:pt idx="6">
                  <c:v>60-70</c:v>
                </c:pt>
                <c:pt idx="7">
                  <c:v>70-80</c:v>
                </c:pt>
                <c:pt idx="8">
                  <c:v>80-90</c:v>
                </c:pt>
                <c:pt idx="9">
                  <c:v>90-100</c:v>
                </c:pt>
                <c:pt idx="10">
                  <c:v>100-110</c:v>
                </c:pt>
                <c:pt idx="11">
                  <c:v>110-120</c:v>
                </c:pt>
                <c:pt idx="12">
                  <c:v>120-130</c:v>
                </c:pt>
                <c:pt idx="13">
                  <c:v>130-140</c:v>
                </c:pt>
                <c:pt idx="14">
                  <c:v>140-150</c:v>
                </c:pt>
                <c:pt idx="15">
                  <c:v>150-160</c:v>
                </c:pt>
                <c:pt idx="16">
                  <c:v>160-170</c:v>
                </c:pt>
                <c:pt idx="17">
                  <c:v>170-180</c:v>
                </c:pt>
                <c:pt idx="18">
                  <c:v>180-190</c:v>
                </c:pt>
                <c:pt idx="19">
                  <c:v>190-200</c:v>
                </c:pt>
                <c:pt idx="20">
                  <c:v>200-210</c:v>
                </c:pt>
                <c:pt idx="21">
                  <c:v>210-220</c:v>
                </c:pt>
                <c:pt idx="22">
                  <c:v>220-230</c:v>
                </c:pt>
                <c:pt idx="23">
                  <c:v>230-240</c:v>
                </c:pt>
                <c:pt idx="24">
                  <c:v>240-250</c:v>
                </c:pt>
                <c:pt idx="25">
                  <c:v>250-260</c:v>
                </c:pt>
                <c:pt idx="26">
                  <c:v>260-270</c:v>
                </c:pt>
                <c:pt idx="27">
                  <c:v>270-280</c:v>
                </c:pt>
                <c:pt idx="28">
                  <c:v>280-290</c:v>
                </c:pt>
                <c:pt idx="29">
                  <c:v>290+</c:v>
                </c:pt>
              </c:strCache>
            </c:strRef>
          </c:cat>
          <c:val>
            <c:numRef>
              <c:f>Monte_Carlo!$B$60:$B$89</c:f>
              <c:numCache>
                <c:formatCode>#,##0;\(#,##0\);\-</c:formatCode>
                <c:ptCount val="30"/>
                <c:pt idx="0">
                  <c:v>4839</c:v>
                </c:pt>
                <c:pt idx="1">
                  <c:v>1547</c:v>
                </c:pt>
                <c:pt idx="2">
                  <c:v>1707</c:v>
                </c:pt>
                <c:pt idx="3">
                  <c:v>1716</c:v>
                </c:pt>
                <c:pt idx="4">
                  <c:v>1591</c:v>
                </c:pt>
                <c:pt idx="5">
                  <c:v>1394</c:v>
                </c:pt>
                <c:pt idx="6">
                  <c:v>1206</c:v>
                </c:pt>
                <c:pt idx="7">
                  <c:v>1004</c:v>
                </c:pt>
                <c:pt idx="8">
                  <c:v>837</c:v>
                </c:pt>
                <c:pt idx="9">
                  <c:v>690</c:v>
                </c:pt>
                <c:pt idx="10">
                  <c:v>636</c:v>
                </c:pt>
                <c:pt idx="11">
                  <c:v>488</c:v>
                </c:pt>
                <c:pt idx="12">
                  <c:v>430</c:v>
                </c:pt>
                <c:pt idx="13">
                  <c:v>320</c:v>
                </c:pt>
                <c:pt idx="14">
                  <c:v>253</c:v>
                </c:pt>
                <c:pt idx="15">
                  <c:v>239</c:v>
                </c:pt>
                <c:pt idx="16">
                  <c:v>193</c:v>
                </c:pt>
                <c:pt idx="17">
                  <c:v>161</c:v>
                </c:pt>
                <c:pt idx="18">
                  <c:v>134</c:v>
                </c:pt>
                <c:pt idx="19">
                  <c:v>94</c:v>
                </c:pt>
                <c:pt idx="20">
                  <c:v>82</c:v>
                </c:pt>
                <c:pt idx="21">
                  <c:v>64</c:v>
                </c:pt>
                <c:pt idx="22">
                  <c:v>55</c:v>
                </c:pt>
                <c:pt idx="23">
                  <c:v>46</c:v>
                </c:pt>
                <c:pt idx="24">
                  <c:v>46</c:v>
                </c:pt>
                <c:pt idx="25">
                  <c:v>26</c:v>
                </c:pt>
                <c:pt idx="26">
                  <c:v>24</c:v>
                </c:pt>
                <c:pt idx="27">
                  <c:v>32</c:v>
                </c:pt>
                <c:pt idx="28">
                  <c:v>18</c:v>
                </c:pt>
                <c:pt idx="29">
                  <c:v>128</c:v>
                </c:pt>
              </c:numCache>
            </c:numRef>
          </c:val>
        </c:ser>
        <c:gapWidth val="10"/>
        <c:overlap val="0"/>
        <c:axId val="27880627"/>
        <c:axId val="63751948"/>
      </c:barChart>
      <c:catAx>
        <c:axId val="278806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751948"/>
        <c:crosses val="autoZero"/>
        <c:auto val="1"/>
        <c:lblAlgn val="ctr"/>
        <c:lblOffset val="100"/>
        <c:noMultiLvlLbl val="0"/>
      </c:catAx>
      <c:valAx>
        <c:axId val="637519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paths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806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13</xdr:col>
      <xdr:colOff>494280</xdr:colOff>
      <xdr:row>16</xdr:row>
      <xdr:rowOff>13320</xdr:rowOff>
    </xdr:to>
    <xdr:graphicFrame>
      <xdr:nvGraphicFramePr>
        <xdr:cNvPr id="0" name="Chart 1"/>
        <xdr:cNvGraphicFramePr/>
      </xdr:nvGraphicFramePr>
      <xdr:xfrm>
        <a:off x="9021960" y="57168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160560</xdr:rowOff>
    </xdr:from>
    <xdr:to>
      <xdr:col>13</xdr:col>
      <xdr:colOff>494280</xdr:colOff>
      <xdr:row>32</xdr:row>
      <xdr:rowOff>13320</xdr:rowOff>
    </xdr:to>
    <xdr:graphicFrame>
      <xdr:nvGraphicFramePr>
        <xdr:cNvPr id="1" name="Chart 2"/>
        <xdr:cNvGraphicFramePr/>
      </xdr:nvGraphicFramePr>
      <xdr:xfrm>
        <a:off x="9021960" y="361944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160920</xdr:rowOff>
    </xdr:from>
    <xdr:to>
      <xdr:col>3</xdr:col>
      <xdr:colOff>261720</xdr:colOff>
      <xdr:row>41</xdr:row>
      <xdr:rowOff>13320</xdr:rowOff>
    </xdr:to>
    <xdr:graphicFrame>
      <xdr:nvGraphicFramePr>
        <xdr:cNvPr id="2" name="Chart 1"/>
        <xdr:cNvGraphicFramePr/>
      </xdr:nvGraphicFramePr>
      <xdr:xfrm>
        <a:off x="0" y="533412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13</xdr:row>
      <xdr:rowOff>160560</xdr:rowOff>
    </xdr:from>
    <xdr:to>
      <xdr:col>17</xdr:col>
      <xdr:colOff>147600</xdr:colOff>
      <xdr:row>28</xdr:row>
      <xdr:rowOff>182520</xdr:rowOff>
    </xdr:to>
    <xdr:graphicFrame>
      <xdr:nvGraphicFramePr>
        <xdr:cNvPr id="3" name="Chart 1"/>
        <xdr:cNvGraphicFramePr/>
      </xdr:nvGraphicFramePr>
      <xdr:xfrm>
        <a:off x="10409040" y="2666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20</xdr:row>
      <xdr:rowOff>160920</xdr:rowOff>
    </xdr:from>
    <xdr:to>
      <xdr:col>6</xdr:col>
      <xdr:colOff>322920</xdr:colOff>
      <xdr:row>35</xdr:row>
      <xdr:rowOff>182880</xdr:rowOff>
    </xdr:to>
    <xdr:graphicFrame>
      <xdr:nvGraphicFramePr>
        <xdr:cNvPr id="4" name="Chart 1"/>
        <xdr:cNvGraphicFramePr/>
      </xdr:nvGraphicFramePr>
      <xdr:xfrm>
        <a:off x="5497920" y="4000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5"/>
    <col collapsed="false" customWidth="true" hidden="false" outlineLevel="0" max="7" min="7" style="0" width="3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tr">
        <f aca="false">Checks!$C$3</f>
        <v>ALL PASS</v>
      </c>
    </row>
    <row r="6" customFormat="false" ht="15" hidden="false" customHeight="false" outlineLevel="0" collapsed="false">
      <c r="A6" s="5" t="s">
        <v>3</v>
      </c>
      <c r="B6" s="6"/>
      <c r="C6" s="6"/>
      <c r="D6" s="6"/>
      <c r="E6" s="6"/>
      <c r="F6" s="6"/>
    </row>
    <row r="7" customFormat="false" ht="15" hidden="false" customHeight="false" outlineLevel="0" collapsed="false">
      <c r="A7" s="7" t="s">
        <v>4</v>
      </c>
      <c r="B7" s="8" t="n">
        <f aca="false">Market_Data!$J$7</f>
        <v>62.42</v>
      </c>
    </row>
    <row r="8" customFormat="false" ht="15" hidden="false" customHeight="false" outlineLevel="0" collapsed="false">
      <c r="A8" s="7" t="s">
        <v>5</v>
      </c>
      <c r="B8" s="9" t="n">
        <f aca="false">Valuation_Summary!F11</f>
        <v>52.8789536734537</v>
      </c>
    </row>
    <row r="9" customFormat="false" ht="15" hidden="false" customHeight="false" outlineLevel="0" collapsed="false">
      <c r="A9" s="7" t="s">
        <v>6</v>
      </c>
      <c r="B9" s="10" t="n">
        <f aca="false">Valuation_Summary!F11/Market_Data!$J$7-1</f>
        <v>-0.152852392286868</v>
      </c>
    </row>
    <row r="10" customFormat="false" ht="15" hidden="false" customHeight="false" outlineLevel="0" collapsed="false">
      <c r="A10" s="7" t="s">
        <v>7</v>
      </c>
      <c r="B10" s="8" t="n">
        <f aca="false">Monte_Carlo!$B$36</f>
        <v>55.2304506011756</v>
      </c>
    </row>
    <row r="11" customFormat="false" ht="15" hidden="false" customHeight="false" outlineLevel="0" collapsed="false">
      <c r="A11" s="7" t="s">
        <v>8</v>
      </c>
      <c r="B11" s="11" t="str">
        <f aca="false">TEXT(Monte_Carlo!$B$39,"$0")&amp;" - "&amp;TEXT(Monte_Carlo!$B$43,"$0")</f>
        <v>$0 - $128</v>
      </c>
    </row>
    <row r="12" customFormat="false" ht="15" hidden="false" customHeight="false" outlineLevel="0" collapsed="false">
      <c r="A12" s="7" t="s">
        <v>9</v>
      </c>
      <c r="B12" s="10" t="n">
        <f aca="false">Monte_Carlo!$B$45</f>
        <v>0.3456</v>
      </c>
    </row>
    <row r="13" customFormat="false" ht="15" hidden="false" customHeight="false" outlineLevel="0" collapsed="false">
      <c r="A13" s="7" t="s">
        <v>10</v>
      </c>
      <c r="B13" s="10" t="n">
        <f aca="false">Valuation_Summary!F24</f>
        <v>0.045555577769913</v>
      </c>
    </row>
    <row r="14" customFormat="false" ht="15" hidden="false" customHeight="false" outlineLevel="0" collapsed="false">
      <c r="A14" s="7" t="s">
        <v>11</v>
      </c>
      <c r="B14" s="10" t="n">
        <f aca="false">Monte_Carlo!$B$51</f>
        <v>0.060829775358108</v>
      </c>
    </row>
    <row r="15" customFormat="false" ht="15" hidden="false" customHeight="false" outlineLevel="0" collapsed="false">
      <c r="A15" s="7" t="s">
        <v>12</v>
      </c>
      <c r="B15" s="10" t="n">
        <f aca="false">Market_Data!$J$14</f>
        <v>0.937518987933979</v>
      </c>
    </row>
    <row r="16" customFormat="false" ht="15" hidden="false" customHeight="false" outlineLevel="0" collapsed="false">
      <c r="A16" s="7" t="s">
        <v>13</v>
      </c>
      <c r="B16" s="11" t="str">
        <f aca="false">TEXT(WACC!$C$11,"0.0%")&amp;" / "&amp;TEXT(WACC!$C$16,"0.0%")</f>
        <v>10.3% / 8.3%</v>
      </c>
    </row>
    <row r="17" customFormat="false" ht="15" hidden="false" customHeight="false" outlineLevel="0" collapsed="false">
      <c r="A17" s="7" t="s">
        <v>14</v>
      </c>
      <c r="B17" s="12" t="n">
        <v>0.106357713957435</v>
      </c>
    </row>
    <row r="19" customFormat="false" ht="15" hidden="false" customHeight="false" outlineLevel="0" collapsed="false">
      <c r="A19" s="5" t="s">
        <v>15</v>
      </c>
      <c r="B19" s="6"/>
      <c r="C19" s="6"/>
      <c r="D19" s="6"/>
      <c r="E19" s="6"/>
      <c r="F19" s="6"/>
    </row>
    <row r="20" customFormat="false" ht="15" hidden="false" customHeight="false" outlineLevel="0" collapsed="false">
      <c r="B20" s="13" t="s">
        <v>16</v>
      </c>
      <c r="C20" s="13" t="s">
        <v>17</v>
      </c>
      <c r="D20" s="13" t="s">
        <v>18</v>
      </c>
      <c r="E20" s="13" t="s">
        <v>19</v>
      </c>
      <c r="F20" s="13" t="s">
        <v>20</v>
      </c>
    </row>
    <row r="21" customFormat="false" ht="15" hidden="false" customHeight="false" outlineLevel="0" collapsed="false">
      <c r="A21" s="7" t="s">
        <v>21</v>
      </c>
      <c r="B21" s="14" t="n">
        <f aca="false">Valuation_Summary!B5</f>
        <v>0.15</v>
      </c>
      <c r="C21" s="14" t="n">
        <f aca="false">Valuation_Summary!C5</f>
        <v>0.25</v>
      </c>
      <c r="D21" s="14" t="n">
        <f aca="false">Valuation_Summary!D5</f>
        <v>0.4</v>
      </c>
      <c r="E21" s="14" t="n">
        <f aca="false">Valuation_Summary!E5</f>
        <v>0.2</v>
      </c>
      <c r="F21" s="14" t="n">
        <f aca="false">Valuation_Summary!F5</f>
        <v>1</v>
      </c>
    </row>
    <row r="22" customFormat="false" ht="15" hidden="false" customHeight="false" outlineLevel="0" collapsed="false">
      <c r="A22" s="7" t="s">
        <v>22</v>
      </c>
      <c r="B22" s="15" t="n">
        <f aca="false">Valuation_Summary!B11</f>
        <v>0</v>
      </c>
      <c r="C22" s="15" t="n">
        <f aca="false">Valuation_Summary!C11</f>
        <v>1.18789338189308</v>
      </c>
      <c r="D22" s="15" t="n">
        <f aca="false">Valuation_Summary!D11</f>
        <v>57.3981806172759</v>
      </c>
      <c r="E22" s="15" t="n">
        <f aca="false">Valuation_Summary!E11</f>
        <v>148.11354040535</v>
      </c>
      <c r="F22" s="15" t="n">
        <f aca="false">Valuation_Summary!F11</f>
        <v>52.8789536734537</v>
      </c>
    </row>
    <row r="23" customFormat="false" ht="15" hidden="false" customHeight="false" outlineLevel="0" collapsed="false">
      <c r="A23" s="7" t="s">
        <v>23</v>
      </c>
      <c r="B23" s="16" t="n">
        <f aca="false">Valuation_Summary!B6</f>
        <v>-12156.0334502533</v>
      </c>
      <c r="C23" s="16" t="n">
        <f aca="false">Valuation_Summary!C6</f>
        <v>889.339381135567</v>
      </c>
      <c r="D23" s="16" t="n">
        <f aca="false">Valuation_Summary!D6</f>
        <v>23596.9586129446</v>
      </c>
      <c r="E23" s="16" t="n">
        <f aca="false">Valuation_Summary!E6</f>
        <v>61532.3818596727</v>
      </c>
    </row>
    <row r="24" customFormat="false" ht="15" hidden="false" customHeight="false" outlineLevel="0" collapsed="false">
      <c r="A24" s="7" t="s">
        <v>24</v>
      </c>
      <c r="B24" s="16" t="n">
        <f aca="false">Valuation_Summary!B13</f>
        <v>196.858664526147</v>
      </c>
      <c r="C24" s="16" t="n">
        <f aca="false">Valuation_Summary!C13</f>
        <v>900.417651691516</v>
      </c>
      <c r="D24" s="16" t="n">
        <f aca="false">Valuation_Summary!D13</f>
        <v>3252.79224401564</v>
      </c>
      <c r="E24" s="16" t="n">
        <f aca="false">Valuation_Summary!E13</f>
        <v>7616.69733786442</v>
      </c>
    </row>
    <row r="25" customFormat="false" ht="15" hidden="false" customHeight="false" outlineLevel="0" collapsed="false">
      <c r="A25" s="7" t="s">
        <v>25</v>
      </c>
      <c r="B25" s="16" t="n">
        <f aca="false">Valuation_Summary!B14</f>
        <v>630.975176631429</v>
      </c>
      <c r="C25" s="16" t="n">
        <f aca="false">Valuation_Summary!C14</f>
        <v>2754.05561677691</v>
      </c>
      <c r="D25" s="16" t="n">
        <f aca="false">Valuation_Summary!D14</f>
        <v>5926.91537622146</v>
      </c>
      <c r="E25" s="16" t="n">
        <f aca="false">Valuation_Summary!E14</f>
        <v>11462.3837336414</v>
      </c>
    </row>
    <row r="26" customFormat="false" ht="15" hidden="false" customHeight="false" outlineLevel="0" collapsed="false">
      <c r="A26" s="7" t="s">
        <v>26</v>
      </c>
      <c r="B26" s="14" t="n">
        <f aca="false">Valuation_Summary!B15</f>
        <v>-0.563792417593391</v>
      </c>
      <c r="C26" s="14" t="n">
        <f aca="false">Valuation_Summary!C15</f>
        <v>0.450407889352344</v>
      </c>
      <c r="D26" s="14" t="n">
        <f aca="false">Valuation_Summary!D15</f>
        <v>0.638297874324412</v>
      </c>
      <c r="E26" s="14" t="n">
        <f aca="false">Valuation_Summary!E15</f>
        <v>0.726684152003255</v>
      </c>
    </row>
    <row r="27" customFormat="false" ht="15" hidden="false" customHeight="false" outlineLevel="0" collapsed="false">
      <c r="A27" s="7" t="s">
        <v>27</v>
      </c>
      <c r="B27" s="16" t="n">
        <f aca="false">Valuation_Summary!B17</f>
        <v>-13563.6870313825</v>
      </c>
      <c r="C27" s="16" t="n">
        <f aca="false">Valuation_Summary!C17</f>
        <v>-5827.85033932901</v>
      </c>
      <c r="D27" s="16" t="n">
        <f aca="false">Valuation_Summary!D17</f>
        <v>-3413.28016616826</v>
      </c>
      <c r="E27" s="16" t="n">
        <f aca="false">Valuation_Summary!E17</f>
        <v>-2121.00429379135</v>
      </c>
    </row>
    <row r="29" customFormat="false" ht="15" hidden="false" customHeight="false" outlineLevel="0" collapsed="false">
      <c r="A29" s="5" t="s">
        <v>28</v>
      </c>
      <c r="B29" s="6"/>
      <c r="C29" s="6"/>
      <c r="D29" s="6"/>
      <c r="E29" s="6"/>
      <c r="F29" s="6"/>
    </row>
    <row r="30" customFormat="false" ht="15" hidden="false" customHeight="false" outlineLevel="0" collapsed="false">
      <c r="A30" s="17" t="s">
        <v>29</v>
      </c>
    </row>
    <row r="31" customFormat="false" ht="15" hidden="false" customHeight="false" outlineLevel="0" collapsed="false">
      <c r="A31" s="17" t="s">
        <v>30</v>
      </c>
    </row>
    <row r="32" customFormat="false" ht="15" hidden="false" customHeight="false" outlineLevel="0" collapsed="false">
      <c r="A32" s="17" t="s">
        <v>31</v>
      </c>
    </row>
    <row r="33" customFormat="false" ht="15" hidden="false" customHeight="false" outlineLevel="0" collapsed="false">
      <c r="A33" s="17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A4" s="18" t="s">
        <v>35</v>
      </c>
      <c r="B4" s="18" t="s">
        <v>16</v>
      </c>
      <c r="C4" s="18" t="s">
        <v>17</v>
      </c>
      <c r="D4" s="18" t="s">
        <v>18</v>
      </c>
      <c r="E4" s="18" t="s">
        <v>19</v>
      </c>
      <c r="F4" s="18" t="s">
        <v>36</v>
      </c>
    </row>
    <row r="5" customFormat="false" ht="15" hidden="false" customHeight="false" outlineLevel="0" collapsed="false">
      <c r="A5" s="7" t="s">
        <v>21</v>
      </c>
      <c r="B5" s="14" t="n">
        <f aca="false">Inputs!D57</f>
        <v>0.15</v>
      </c>
      <c r="C5" s="14" t="n">
        <f aca="false">Inputs!E57</f>
        <v>0.25</v>
      </c>
      <c r="D5" s="14" t="n">
        <f aca="false">Inputs!F57</f>
        <v>0.4</v>
      </c>
      <c r="E5" s="14" t="n">
        <f aca="false">Inputs!G57</f>
        <v>0.2</v>
      </c>
      <c r="F5" s="19" t="n">
        <f aca="false">SUM(B5:E5)</f>
        <v>1</v>
      </c>
    </row>
    <row r="6" customFormat="false" ht="15" hidden="false" customHeight="false" outlineLevel="0" collapsed="false">
      <c r="A6" s="7" t="s">
        <v>23</v>
      </c>
      <c r="B6" s="16" t="n">
        <f aca="false">Calc_Distress!$C$87</f>
        <v>-12156.0334502533</v>
      </c>
      <c r="C6" s="16" t="n">
        <f aca="false">Calc_Bear!$C$87</f>
        <v>889.339381135567</v>
      </c>
      <c r="D6" s="16" t="n">
        <f aca="false">Calc_Base!$C$87</f>
        <v>23596.9586129446</v>
      </c>
      <c r="E6" s="16" t="n">
        <f aca="false">Calc_Bull!$C$87</f>
        <v>61532.3818596727</v>
      </c>
    </row>
    <row r="7" customFormat="false" ht="15" hidden="false" customHeight="false" outlineLevel="0" collapsed="false">
      <c r="A7" s="7" t="s">
        <v>37</v>
      </c>
      <c r="B7" s="16" t="n">
        <f aca="false">Calc_Distress!$C$85</f>
        <v>-3888.1316300061</v>
      </c>
      <c r="C7" s="16" t="n">
        <f aca="false">Calc_Bear!$C$85</f>
        <v>3615.53971170971</v>
      </c>
      <c r="D7" s="16" t="n">
        <f aca="false">Calc_Base!$C$85</f>
        <v>14896.3039414191</v>
      </c>
      <c r="E7" s="16" t="n">
        <f aca="false">Calc_Bull!$C$85</f>
        <v>34477.4418962626</v>
      </c>
    </row>
    <row r="8" customFormat="false" ht="15" hidden="false" customHeight="false" outlineLevel="0" collapsed="false">
      <c r="A8" s="7" t="s">
        <v>38</v>
      </c>
      <c r="B8" s="14" t="n">
        <f aca="false">Calc_Distress!$C$88</f>
        <v>0</v>
      </c>
      <c r="C8" s="14" t="n">
        <f aca="false">Calc_Bear!$C$88</f>
        <v>4.06542180454569</v>
      </c>
      <c r="D8" s="14" t="n">
        <f aca="false">Calc_Base!$C$88</f>
        <v>0.631280674164824</v>
      </c>
      <c r="E8" s="14" t="n">
        <f aca="false">Calc_Bull!$C$88</f>
        <v>0.560313786891753</v>
      </c>
    </row>
    <row r="9" customFormat="false" ht="15" hidden="false" customHeight="false" outlineLevel="0" collapsed="false">
      <c r="A9" s="7" t="s">
        <v>39</v>
      </c>
      <c r="B9" s="16" t="n">
        <f aca="false">Calc_Distress!$C$94</f>
        <v>-12572.9824502533</v>
      </c>
      <c r="C9" s="16" t="n">
        <f aca="false">Calc_Bear!$C$94</f>
        <v>472.390381135567</v>
      </c>
      <c r="D9" s="16" t="n">
        <f aca="false">Calc_Base!$C$94</f>
        <v>23180.0096129446</v>
      </c>
      <c r="E9" s="16" t="n">
        <f aca="false">Calc_Bull!$C$94</f>
        <v>61115.4328596727</v>
      </c>
    </row>
    <row r="10" customFormat="false" ht="15" hidden="false" customHeight="false" outlineLevel="0" collapsed="false">
      <c r="A10" s="7" t="s">
        <v>40</v>
      </c>
      <c r="B10" s="16" t="n">
        <f aca="false">Calc_Distress!$C$108</f>
        <v>389.167494</v>
      </c>
      <c r="C10" s="16" t="n">
        <f aca="false">Calc_Bear!$C$108</f>
        <v>402.194746</v>
      </c>
      <c r="D10" s="16" t="n">
        <f aca="false">Calc_Base!$C$108</f>
        <v>404.338272369026</v>
      </c>
      <c r="E10" s="16" t="n">
        <f aca="false">Calc_Bull!$C$108</f>
        <v>430.032961607215</v>
      </c>
    </row>
    <row r="11" customFormat="false" ht="15" hidden="false" customHeight="false" outlineLevel="0" collapsed="false">
      <c r="A11" s="3" t="s">
        <v>22</v>
      </c>
      <c r="B11" s="15" t="n">
        <f aca="false">Calc_Distress!$C$109</f>
        <v>0</v>
      </c>
      <c r="C11" s="15" t="n">
        <f aca="false">Calc_Bear!$C$109</f>
        <v>1.18789338189308</v>
      </c>
      <c r="D11" s="15" t="n">
        <f aca="false">Calc_Base!$C$109</f>
        <v>57.3981806172759</v>
      </c>
      <c r="E11" s="15" t="n">
        <f aca="false">Calc_Bull!$C$109</f>
        <v>148.11354040535</v>
      </c>
      <c r="F11" s="20" t="n">
        <f aca="false">SUMPRODUCT($B$5:$E$5,B11:E11)</f>
        <v>52.8789536734537</v>
      </c>
    </row>
    <row r="12" customFormat="false" ht="15" hidden="false" customHeight="false" outlineLevel="0" collapsed="false">
      <c r="A12" s="7" t="s">
        <v>41</v>
      </c>
      <c r="B12" s="14" t="n">
        <f aca="false">Calc_Distress!$C$110</f>
        <v>-1</v>
      </c>
      <c r="C12" s="14" t="n">
        <f aca="false">Calc_Bear!$C$110</f>
        <v>-0.980969346653427</v>
      </c>
      <c r="D12" s="14" t="n">
        <f aca="false">Calc_Base!$C$110</f>
        <v>-0.0804520887972455</v>
      </c>
      <c r="E12" s="14" t="n">
        <f aca="false">Calc_Bull!$C$110</f>
        <v>1.37285389947693</v>
      </c>
    </row>
    <row r="13" customFormat="false" ht="15" hidden="false" customHeight="false" outlineLevel="0" collapsed="false">
      <c r="A13" s="7" t="s">
        <v>24</v>
      </c>
      <c r="B13" s="16" t="n">
        <f aca="false">Calc_Distress!$C$117</f>
        <v>196.858664526147</v>
      </c>
      <c r="C13" s="16" t="n">
        <f aca="false">Calc_Bear!$C$117</f>
        <v>900.417651691516</v>
      </c>
      <c r="D13" s="16" t="n">
        <f aca="false">Calc_Base!$C$117</f>
        <v>3252.79224401564</v>
      </c>
      <c r="E13" s="16" t="n">
        <f aca="false">Calc_Bull!$C$117</f>
        <v>7616.69733786442</v>
      </c>
    </row>
    <row r="14" customFormat="false" ht="15" hidden="false" customHeight="false" outlineLevel="0" collapsed="false">
      <c r="A14" s="7" t="s">
        <v>25</v>
      </c>
      <c r="B14" s="16" t="n">
        <f aca="false">Calc_Distress!$C$118</f>
        <v>630.975176631429</v>
      </c>
      <c r="C14" s="16" t="n">
        <f aca="false">Calc_Bear!$C$118</f>
        <v>2754.05561677691</v>
      </c>
      <c r="D14" s="16" t="n">
        <f aca="false">Calc_Base!$C$118</f>
        <v>5926.91537622146</v>
      </c>
      <c r="E14" s="16" t="n">
        <f aca="false">Calc_Bull!$C$118</f>
        <v>11462.3837336414</v>
      </c>
    </row>
    <row r="15" customFormat="false" ht="15" hidden="false" customHeight="false" outlineLevel="0" collapsed="false">
      <c r="A15" s="7" t="s">
        <v>26</v>
      </c>
      <c r="B15" s="14" t="n">
        <f aca="false">Calc_Distress!$C$116</f>
        <v>-0.563792417593391</v>
      </c>
      <c r="C15" s="14" t="n">
        <f aca="false">Calc_Bear!$C$116</f>
        <v>0.450407889352344</v>
      </c>
      <c r="D15" s="14" t="n">
        <f aca="false">Calc_Base!$C$116</f>
        <v>0.638297874324412</v>
      </c>
      <c r="E15" s="14" t="n">
        <f aca="false">Calc_Bull!$C$116</f>
        <v>0.726684152003255</v>
      </c>
    </row>
    <row r="16" customFormat="false" ht="15" hidden="false" customHeight="false" outlineLevel="0" collapsed="false">
      <c r="A16" s="7" t="s">
        <v>42</v>
      </c>
      <c r="B16" s="21" t="str">
        <f aca="false">Calc_Distress!$C$89</f>
        <v>n/m</v>
      </c>
      <c r="C16" s="21" t="n">
        <f aca="false">Calc_Bear!$C$89</f>
        <v>8.42528546656162</v>
      </c>
      <c r="D16" s="21" t="n">
        <f aca="false">Calc_Base!$C$89</f>
        <v>11.7082188982952</v>
      </c>
      <c r="E16" s="21" t="n">
        <f aca="false">Calc_Bull!$C$89</f>
        <v>12.3232677529778</v>
      </c>
    </row>
    <row r="17" customFormat="false" ht="15" hidden="false" customHeight="false" outlineLevel="0" collapsed="false">
      <c r="A17" s="7" t="s">
        <v>43</v>
      </c>
      <c r="B17" s="16" t="n">
        <f aca="false">Calc_Distress!$C$113</f>
        <v>-13563.6870313825</v>
      </c>
      <c r="C17" s="16" t="n">
        <f aca="false">Calc_Bear!$C$113</f>
        <v>-5827.85033932901</v>
      </c>
      <c r="D17" s="16" t="n">
        <f aca="false">Calc_Base!$C$113</f>
        <v>-3413.28016616826</v>
      </c>
      <c r="E17" s="16" t="n">
        <f aca="false">Calc_Bull!$C$113</f>
        <v>-2121.00429379135</v>
      </c>
    </row>
    <row r="18" customFormat="false" ht="15" hidden="false" customHeight="false" outlineLevel="0" collapsed="false">
      <c r="A18" s="7" t="s">
        <v>44</v>
      </c>
      <c r="B18" s="22" t="n">
        <f aca="false">Calc_Distress!$C$114</f>
        <v>0.357778663879452</v>
      </c>
      <c r="C18" s="22" t="n">
        <f aca="false">Calc_Bear!$C$114</f>
        <v>1.00430336660692</v>
      </c>
      <c r="D18" s="22" t="n">
        <f aca="false">Calc_Base!$C$114</f>
        <v>1.81976353129708</v>
      </c>
      <c r="E18" s="22" t="n">
        <f aca="false">Calc_Bull!$C$114</f>
        <v>2.15525333426632</v>
      </c>
    </row>
    <row r="19" customFormat="false" ht="15" hidden="false" customHeight="false" outlineLevel="0" collapsed="false">
      <c r="A19" s="7" t="s">
        <v>45</v>
      </c>
      <c r="B19" s="16" t="n">
        <f aca="false">Calc_Distress!$C$112</f>
        <v>151.255</v>
      </c>
      <c r="C19" s="16" t="n">
        <f aca="false">Calc_Bear!$C$112</f>
        <v>166.255</v>
      </c>
      <c r="D19" s="16" t="n">
        <f aca="false">Calc_Base!$C$112</f>
        <v>174.955</v>
      </c>
      <c r="E19" s="16" t="n">
        <f aca="false">Calc_Bull!$C$112</f>
        <v>186.255</v>
      </c>
    </row>
    <row r="21" customFormat="false" ht="15" hidden="false" customHeight="false" outlineLevel="0" collapsed="false">
      <c r="A21" s="3" t="s">
        <v>46</v>
      </c>
      <c r="F21" s="15" t="n">
        <f aca="false">Market_Data!$J$7</f>
        <v>62.42</v>
      </c>
    </row>
    <row r="22" customFormat="false" ht="15" hidden="false" customHeight="false" outlineLevel="0" collapsed="false">
      <c r="A22" s="3" t="s">
        <v>47</v>
      </c>
      <c r="F22" s="19" t="n">
        <f aca="false">F11/F21-1</f>
        <v>-0.152852392286868</v>
      </c>
    </row>
    <row r="23" customFormat="false" ht="15" hidden="false" customHeight="false" outlineLevel="0" collapsed="false">
      <c r="A23" s="7" t="s">
        <v>48</v>
      </c>
      <c r="F23" s="23" t="n">
        <f aca="false">WACC!$C$8</f>
        <v>0.104996138370262</v>
      </c>
    </row>
    <row r="24" customFormat="false" ht="15" hidden="false" customHeight="false" outlineLevel="0" collapsed="false">
      <c r="A24" s="7" t="s">
        <v>49</v>
      </c>
      <c r="F24" s="19" t="n">
        <f aca="false">IF(F11&lt;=0,-1,(F11*(1+F23)^3/F21)^(1/3)-1)</f>
        <v>0.045555577769913</v>
      </c>
      <c r="G24" s="17" t="s">
        <v>50</v>
      </c>
    </row>
    <row r="25" customFormat="false" ht="15" hidden="false" customHeight="false" outlineLevel="0" collapsed="false">
      <c r="A25" s="7" t="s">
        <v>51</v>
      </c>
      <c r="F25" s="19" t="n">
        <f aca="false">IF(F11&lt;=0,-1,(F11*(1+F23)^5/F21)^(1/5)-1)</f>
        <v>0.0689381521987016</v>
      </c>
      <c r="G25" s="17" t="s">
        <v>50</v>
      </c>
    </row>
    <row r="26" customFormat="false" ht="15" hidden="false" customHeight="false" outlineLevel="0" collapsed="false">
      <c r="A26" s="7" t="s">
        <v>52</v>
      </c>
      <c r="F26" s="16" t="n">
        <f aca="false">Capital_Structure!$B$61</f>
        <v>24708.78397548</v>
      </c>
    </row>
    <row r="27" customFormat="false" ht="15" hidden="false" customHeight="false" outlineLevel="0" collapsed="false">
      <c r="A27" s="7" t="s">
        <v>53</v>
      </c>
      <c r="F27" s="24" t="n">
        <f aca="false">D6/Capital_Structure!$B$61</f>
        <v>0.955002829615626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H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7" min="4" style="0" width="11"/>
    <col collapsed="false" customWidth="true" hidden="false" outlineLevel="0" max="8" min="8" style="0" width="95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3" t="s">
        <v>56</v>
      </c>
      <c r="B4" s="3" t="s">
        <v>57</v>
      </c>
      <c r="C4" s="3" t="s">
        <v>58</v>
      </c>
      <c r="D4" s="3" t="s">
        <v>59</v>
      </c>
      <c r="H4" s="3" t="s">
        <v>60</v>
      </c>
    </row>
    <row r="5" customFormat="false" ht="15" hidden="false" customHeight="false" outlineLevel="0" collapsed="false">
      <c r="A5" s="5" t="s">
        <v>61</v>
      </c>
      <c r="B5" s="6"/>
      <c r="C5" s="6"/>
      <c r="D5" s="6"/>
      <c r="E5" s="6"/>
      <c r="F5" s="6"/>
      <c r="G5" s="6"/>
      <c r="H5" s="6"/>
    </row>
    <row r="6" customFormat="false" ht="15" hidden="false" customHeight="false" outlineLevel="0" collapsed="false">
      <c r="A6" s="17" t="s">
        <v>62</v>
      </c>
      <c r="B6" s="7" t="s">
        <v>63</v>
      </c>
      <c r="C6" s="17" t="s">
        <v>64</v>
      </c>
      <c r="D6" s="25" t="n">
        <v>2026.69</v>
      </c>
      <c r="H6" s="17" t="s">
        <v>65</v>
      </c>
    </row>
    <row r="7" customFormat="false" ht="15" hidden="false" customHeight="false" outlineLevel="0" collapsed="false">
      <c r="A7" s="17" t="s">
        <v>66</v>
      </c>
      <c r="B7" s="7" t="s">
        <v>67</v>
      </c>
      <c r="C7" s="17" t="s">
        <v>68</v>
      </c>
      <c r="D7" s="26" t="n">
        <v>0.0484</v>
      </c>
      <c r="H7" s="17" t="s">
        <v>69</v>
      </c>
    </row>
    <row r="8" customFormat="false" ht="15" hidden="false" customHeight="false" outlineLevel="0" collapsed="false">
      <c r="A8" s="17" t="s">
        <v>70</v>
      </c>
      <c r="B8" s="7" t="s">
        <v>71</v>
      </c>
      <c r="C8" s="17" t="s">
        <v>68</v>
      </c>
      <c r="D8" s="26" t="n">
        <v>0.0442</v>
      </c>
      <c r="H8" s="17" t="s">
        <v>72</v>
      </c>
    </row>
    <row r="9" customFormat="false" ht="15" hidden="false" customHeight="false" outlineLevel="0" collapsed="false">
      <c r="A9" s="17" t="s">
        <v>73</v>
      </c>
      <c r="B9" s="7" t="s">
        <v>74</v>
      </c>
      <c r="C9" s="17" t="s">
        <v>75</v>
      </c>
      <c r="D9" s="27" t="n">
        <v>0.67</v>
      </c>
      <c r="H9" s="17" t="s">
        <v>76</v>
      </c>
    </row>
    <row r="10" customFormat="false" ht="15" hidden="false" customHeight="false" outlineLevel="0" collapsed="false">
      <c r="A10" s="17" t="s">
        <v>77</v>
      </c>
      <c r="B10" s="7" t="s">
        <v>78</v>
      </c>
      <c r="C10" s="17" t="s">
        <v>68</v>
      </c>
      <c r="D10" s="28" t="n">
        <v>0.15</v>
      </c>
      <c r="H10" s="17" t="s">
        <v>79</v>
      </c>
    </row>
    <row r="11" customFormat="false" ht="15" hidden="false" customHeight="false" outlineLevel="0" collapsed="false">
      <c r="A11" s="17" t="s">
        <v>80</v>
      </c>
      <c r="B11" s="7" t="s">
        <v>81</v>
      </c>
      <c r="C11" s="17" t="s">
        <v>68</v>
      </c>
      <c r="D11" s="29" t="n">
        <v>0.095</v>
      </c>
      <c r="H11" s="17" t="s">
        <v>82</v>
      </c>
    </row>
    <row r="12" customFormat="false" ht="15" hidden="false" customHeight="false" outlineLevel="0" collapsed="false">
      <c r="A12" s="17" t="s">
        <v>83</v>
      </c>
      <c r="B12" s="7" t="s">
        <v>84</v>
      </c>
      <c r="C12" s="17" t="s">
        <v>68</v>
      </c>
      <c r="D12" s="28" t="n">
        <v>0</v>
      </c>
      <c r="H12" s="17" t="s">
        <v>85</v>
      </c>
    </row>
    <row r="13" customFormat="false" ht="15" hidden="false" customHeight="false" outlineLevel="0" collapsed="false">
      <c r="A13" s="17" t="s">
        <v>86</v>
      </c>
      <c r="B13" s="7" t="s">
        <v>87</v>
      </c>
      <c r="C13" s="17" t="s">
        <v>75</v>
      </c>
      <c r="D13" s="27" t="n">
        <v>1</v>
      </c>
      <c r="H13" s="17" t="s">
        <v>88</v>
      </c>
    </row>
    <row r="14" customFormat="false" ht="15" hidden="false" customHeight="false" outlineLevel="0" collapsed="false">
      <c r="A14" s="17" t="s">
        <v>89</v>
      </c>
      <c r="B14" s="7" t="s">
        <v>90</v>
      </c>
      <c r="C14" s="17" t="s">
        <v>68</v>
      </c>
      <c r="D14" s="28" t="n">
        <v>0.25</v>
      </c>
      <c r="H14" s="17" t="s">
        <v>91</v>
      </c>
    </row>
    <row r="15" customFormat="false" ht="15" hidden="false" customHeight="false" outlineLevel="0" collapsed="false">
      <c r="A15" s="17" t="s">
        <v>92</v>
      </c>
      <c r="B15" s="7" t="s">
        <v>93</v>
      </c>
      <c r="C15" s="17" t="s">
        <v>68</v>
      </c>
      <c r="D15" s="29" t="n">
        <v>0.07</v>
      </c>
      <c r="H15" s="17" t="s">
        <v>94</v>
      </c>
    </row>
    <row r="16" customFormat="false" ht="15" hidden="false" customHeight="false" outlineLevel="0" collapsed="false">
      <c r="A16" s="17" t="s">
        <v>95</v>
      </c>
      <c r="B16" s="7" t="s">
        <v>96</v>
      </c>
      <c r="C16" s="17" t="s">
        <v>68</v>
      </c>
      <c r="D16" s="28" t="n">
        <v>0.25</v>
      </c>
      <c r="H16" s="17" t="s">
        <v>97</v>
      </c>
    </row>
    <row r="17" customFormat="false" ht="15" hidden="false" customHeight="false" outlineLevel="0" collapsed="false">
      <c r="A17" s="17" t="s">
        <v>98</v>
      </c>
      <c r="B17" s="7" t="s">
        <v>99</v>
      </c>
      <c r="C17" s="17" t="s">
        <v>64</v>
      </c>
      <c r="D17" s="25" t="n">
        <v>2031</v>
      </c>
      <c r="H17" s="17" t="s">
        <v>100</v>
      </c>
    </row>
    <row r="18" customFormat="false" ht="15" hidden="false" customHeight="false" outlineLevel="0" collapsed="false">
      <c r="A18" s="17" t="s">
        <v>101</v>
      </c>
      <c r="B18" s="7" t="s">
        <v>102</v>
      </c>
      <c r="C18" s="17" t="s">
        <v>64</v>
      </c>
      <c r="D18" s="25" t="n">
        <v>2035</v>
      </c>
      <c r="H18" s="17" t="s">
        <v>103</v>
      </c>
    </row>
    <row r="19" customFormat="false" ht="15" hidden="false" customHeight="false" outlineLevel="0" collapsed="false">
      <c r="A19" s="17" t="s">
        <v>104</v>
      </c>
      <c r="B19" s="7" t="s">
        <v>105</v>
      </c>
      <c r="C19" s="17" t="s">
        <v>68</v>
      </c>
      <c r="D19" s="28" t="n">
        <v>0</v>
      </c>
      <c r="H19" s="17" t="s">
        <v>106</v>
      </c>
    </row>
    <row r="20" customFormat="false" ht="15" hidden="false" customHeight="false" outlineLevel="0" collapsed="false">
      <c r="A20" s="17" t="s">
        <v>107</v>
      </c>
      <c r="B20" s="7" t="s">
        <v>108</v>
      </c>
      <c r="C20" s="17" t="s">
        <v>68</v>
      </c>
      <c r="D20" s="30" t="n">
        <v>0.025</v>
      </c>
      <c r="H20" s="17" t="s">
        <v>109</v>
      </c>
    </row>
    <row r="21" customFormat="false" ht="15" hidden="false" customHeight="false" outlineLevel="0" collapsed="false">
      <c r="A21" s="5" t="s">
        <v>110</v>
      </c>
      <c r="B21" s="6"/>
      <c r="C21" s="6"/>
      <c r="D21" s="6"/>
      <c r="E21" s="6"/>
      <c r="F21" s="6"/>
      <c r="G21" s="6"/>
      <c r="H21" s="6"/>
    </row>
    <row r="22" customFormat="false" ht="15" hidden="false" customHeight="false" outlineLevel="0" collapsed="false">
      <c r="A22" s="17" t="s">
        <v>111</v>
      </c>
      <c r="B22" s="7" t="s">
        <v>112</v>
      </c>
      <c r="C22" s="17" t="s">
        <v>68</v>
      </c>
      <c r="D22" s="28" t="n">
        <v>0.25</v>
      </c>
      <c r="H22" s="17" t="s">
        <v>113</v>
      </c>
    </row>
    <row r="23" customFormat="false" ht="15" hidden="false" customHeight="false" outlineLevel="0" collapsed="false">
      <c r="A23" s="17" t="s">
        <v>114</v>
      </c>
      <c r="B23" s="7" t="s">
        <v>115</v>
      </c>
      <c r="C23" s="17" t="s">
        <v>116</v>
      </c>
      <c r="D23" s="31" t="n">
        <v>1000</v>
      </c>
      <c r="H23" s="17" t="s">
        <v>117</v>
      </c>
    </row>
    <row r="24" customFormat="false" ht="15" hidden="false" customHeight="false" outlineLevel="0" collapsed="false">
      <c r="A24" s="17" t="s">
        <v>118</v>
      </c>
      <c r="B24" s="7" t="s">
        <v>119</v>
      </c>
      <c r="C24" s="17" t="s">
        <v>68</v>
      </c>
      <c r="D24" s="28" t="n">
        <v>0.8</v>
      </c>
      <c r="H24" s="17" t="s">
        <v>120</v>
      </c>
    </row>
    <row r="25" customFormat="false" ht="15" hidden="false" customHeight="false" outlineLevel="0" collapsed="false">
      <c r="A25" s="17" t="s">
        <v>121</v>
      </c>
      <c r="B25" s="7" t="s">
        <v>122</v>
      </c>
      <c r="C25" s="17" t="s">
        <v>123</v>
      </c>
      <c r="D25" s="25" t="n">
        <v>1</v>
      </c>
      <c r="H25" s="17" t="s">
        <v>124</v>
      </c>
    </row>
    <row r="26" customFormat="false" ht="15" hidden="false" customHeight="false" outlineLevel="0" collapsed="false">
      <c r="A26" s="17" t="s">
        <v>125</v>
      </c>
      <c r="B26" s="7" t="s">
        <v>126</v>
      </c>
      <c r="C26" s="17" t="s">
        <v>127</v>
      </c>
      <c r="D26" s="32" t="n">
        <v>7</v>
      </c>
      <c r="H26" s="17" t="s">
        <v>128</v>
      </c>
    </row>
    <row r="27" customFormat="false" ht="15" hidden="false" customHeight="false" outlineLevel="0" collapsed="false">
      <c r="A27" s="17" t="s">
        <v>129</v>
      </c>
      <c r="B27" s="7" t="s">
        <v>130</v>
      </c>
      <c r="C27" s="17" t="s">
        <v>68</v>
      </c>
      <c r="D27" s="28" t="n">
        <v>0.05</v>
      </c>
      <c r="H27" s="17" t="s">
        <v>131</v>
      </c>
    </row>
    <row r="28" customFormat="false" ht="15" hidden="false" customHeight="false" outlineLevel="0" collapsed="false">
      <c r="A28" s="17" t="s">
        <v>132</v>
      </c>
      <c r="B28" s="7" t="s">
        <v>133</v>
      </c>
      <c r="C28" s="17" t="s">
        <v>134</v>
      </c>
      <c r="D28" s="33" t="n">
        <v>4</v>
      </c>
      <c r="H28" s="17" t="s">
        <v>135</v>
      </c>
    </row>
    <row r="29" customFormat="false" ht="15" hidden="false" customHeight="false" outlineLevel="0" collapsed="false">
      <c r="A29" s="17" t="s">
        <v>136</v>
      </c>
      <c r="B29" s="7" t="s">
        <v>137</v>
      </c>
      <c r="C29" s="17" t="s">
        <v>116</v>
      </c>
      <c r="D29" s="31" t="n">
        <v>1724.085</v>
      </c>
      <c r="H29" s="17" t="s">
        <v>138</v>
      </c>
    </row>
    <row r="30" customFormat="false" ht="15" hidden="false" customHeight="false" outlineLevel="0" collapsed="false">
      <c r="A30" s="17" t="s">
        <v>139</v>
      </c>
      <c r="B30" s="7" t="s">
        <v>140</v>
      </c>
      <c r="C30" s="17" t="s">
        <v>141</v>
      </c>
      <c r="D30" s="31" t="n">
        <v>3000</v>
      </c>
      <c r="H30" s="17" t="s">
        <v>142</v>
      </c>
    </row>
    <row r="31" customFormat="false" ht="15" hidden="false" customHeight="false" outlineLevel="0" collapsed="false">
      <c r="A31" s="17" t="s">
        <v>143</v>
      </c>
      <c r="B31" s="7" t="s">
        <v>144</v>
      </c>
      <c r="C31" s="17" t="s">
        <v>68</v>
      </c>
      <c r="D31" s="28" t="n">
        <v>0.25</v>
      </c>
      <c r="H31" s="17" t="s">
        <v>145</v>
      </c>
    </row>
    <row r="32" customFormat="false" ht="15" hidden="false" customHeight="false" outlineLevel="0" collapsed="false">
      <c r="A32" s="17" t="s">
        <v>146</v>
      </c>
      <c r="B32" s="7" t="s">
        <v>147</v>
      </c>
      <c r="C32" s="17" t="s">
        <v>134</v>
      </c>
      <c r="D32" s="33" t="n">
        <v>20</v>
      </c>
      <c r="H32" s="17" t="s">
        <v>148</v>
      </c>
    </row>
    <row r="33" customFormat="false" ht="15" hidden="false" customHeight="false" outlineLevel="0" collapsed="false">
      <c r="A33" s="17" t="s">
        <v>149</v>
      </c>
      <c r="B33" s="7" t="s">
        <v>150</v>
      </c>
      <c r="C33" s="17" t="s">
        <v>134</v>
      </c>
      <c r="D33" s="33" t="n">
        <v>60</v>
      </c>
      <c r="H33" s="17" t="s">
        <v>151</v>
      </c>
    </row>
    <row r="34" customFormat="false" ht="15" hidden="false" customHeight="false" outlineLevel="0" collapsed="false">
      <c r="A34" s="17" t="s">
        <v>152</v>
      </c>
      <c r="B34" s="7" t="s">
        <v>153</v>
      </c>
      <c r="C34" s="17" t="s">
        <v>134</v>
      </c>
      <c r="D34" s="33" t="n">
        <v>60</v>
      </c>
      <c r="H34" s="17" t="s">
        <v>103</v>
      </c>
    </row>
    <row r="35" customFormat="false" ht="15" hidden="false" customHeight="false" outlineLevel="0" collapsed="false">
      <c r="A35" s="17" t="s">
        <v>154</v>
      </c>
      <c r="B35" s="7" t="s">
        <v>155</v>
      </c>
      <c r="C35" s="17" t="s">
        <v>134</v>
      </c>
      <c r="D35" s="33" t="n">
        <v>90</v>
      </c>
      <c r="H35" s="17" t="s">
        <v>156</v>
      </c>
    </row>
    <row r="36" customFormat="false" ht="15" hidden="false" customHeight="false" outlineLevel="0" collapsed="false">
      <c r="A36" s="17" t="s">
        <v>157</v>
      </c>
      <c r="B36" s="7" t="s">
        <v>158</v>
      </c>
      <c r="C36" s="17" t="s">
        <v>116</v>
      </c>
      <c r="D36" s="31" t="n">
        <v>46.255</v>
      </c>
      <c r="H36" s="17" t="s">
        <v>159</v>
      </c>
    </row>
    <row r="37" customFormat="false" ht="15" hidden="false" customHeight="false" outlineLevel="0" collapsed="false">
      <c r="A37" s="17" t="s">
        <v>160</v>
      </c>
      <c r="B37" s="7" t="s">
        <v>161</v>
      </c>
      <c r="C37" s="17" t="s">
        <v>116</v>
      </c>
      <c r="D37" s="31" t="n">
        <v>150</v>
      </c>
      <c r="H37" s="17" t="s">
        <v>162</v>
      </c>
    </row>
    <row r="38" customFormat="false" ht="15" hidden="false" customHeight="false" outlineLevel="0" collapsed="false">
      <c r="A38" s="17" t="s">
        <v>163</v>
      </c>
      <c r="B38" s="7" t="s">
        <v>164</v>
      </c>
      <c r="C38" s="17" t="s">
        <v>116</v>
      </c>
      <c r="D38" s="31" t="n">
        <v>200</v>
      </c>
      <c r="H38" s="17" t="s">
        <v>162</v>
      </c>
    </row>
    <row r="39" customFormat="false" ht="15" hidden="false" customHeight="false" outlineLevel="0" collapsed="false">
      <c r="A39" s="17" t="s">
        <v>165</v>
      </c>
      <c r="B39" s="7" t="s">
        <v>166</v>
      </c>
      <c r="C39" s="17" t="s">
        <v>116</v>
      </c>
      <c r="D39" s="31" t="n">
        <v>266.933</v>
      </c>
      <c r="H39" s="17" t="s">
        <v>167</v>
      </c>
    </row>
    <row r="40" customFormat="false" ht="15" hidden="false" customHeight="false" outlineLevel="0" collapsed="false">
      <c r="A40" s="17" t="s">
        <v>168</v>
      </c>
      <c r="B40" s="7" t="s">
        <v>169</v>
      </c>
      <c r="C40" s="17" t="s">
        <v>64</v>
      </c>
      <c r="D40" s="25" t="n">
        <v>2027</v>
      </c>
      <c r="H40" s="17" t="s">
        <v>170</v>
      </c>
    </row>
    <row r="41" customFormat="false" ht="15" hidden="false" customHeight="false" outlineLevel="0" collapsed="false">
      <c r="A41" s="17" t="s">
        <v>171</v>
      </c>
      <c r="B41" s="7" t="s">
        <v>172</v>
      </c>
      <c r="C41" s="17" t="s">
        <v>127</v>
      </c>
      <c r="D41" s="34" t="n">
        <v>5</v>
      </c>
      <c r="H41" s="17" t="s">
        <v>103</v>
      </c>
    </row>
    <row r="42" customFormat="false" ht="15" hidden="false" customHeight="false" outlineLevel="0" collapsed="false">
      <c r="A42" s="17" t="s">
        <v>173</v>
      </c>
      <c r="B42" s="7" t="s">
        <v>174</v>
      </c>
      <c r="C42" s="17" t="s">
        <v>68</v>
      </c>
      <c r="D42" s="28" t="n">
        <v>0.05</v>
      </c>
      <c r="H42" s="17" t="s">
        <v>175</v>
      </c>
    </row>
    <row r="43" customFormat="false" ht="15" hidden="false" customHeight="false" outlineLevel="0" collapsed="false">
      <c r="A43" s="17" t="s">
        <v>176</v>
      </c>
      <c r="B43" s="7" t="s">
        <v>177</v>
      </c>
      <c r="C43" s="17" t="s">
        <v>116</v>
      </c>
      <c r="D43" s="31" t="n">
        <v>92.51</v>
      </c>
      <c r="H43" s="17" t="s">
        <v>178</v>
      </c>
    </row>
    <row r="44" customFormat="false" ht="15" hidden="false" customHeight="false" outlineLevel="0" collapsed="false">
      <c r="A44" s="17" t="s">
        <v>179</v>
      </c>
      <c r="B44" s="7" t="s">
        <v>180</v>
      </c>
      <c r="C44" s="17" t="s">
        <v>116</v>
      </c>
      <c r="D44" s="31" t="n">
        <v>550</v>
      </c>
      <c r="H44" s="17" t="s">
        <v>181</v>
      </c>
    </row>
    <row r="45" customFormat="false" ht="15" hidden="false" customHeight="false" outlineLevel="0" collapsed="false">
      <c r="A45" s="17" t="s">
        <v>182</v>
      </c>
      <c r="B45" s="7" t="s">
        <v>183</v>
      </c>
      <c r="C45" s="17" t="s">
        <v>64</v>
      </c>
      <c r="D45" s="25" t="n">
        <v>2027</v>
      </c>
      <c r="H45" s="17" t="s">
        <v>184</v>
      </c>
    </row>
    <row r="46" customFormat="false" ht="15" hidden="false" customHeight="false" outlineLevel="0" collapsed="false">
      <c r="A46" s="17" t="s">
        <v>185</v>
      </c>
      <c r="B46" s="7" t="s">
        <v>186</v>
      </c>
      <c r="C46" s="17" t="s">
        <v>116</v>
      </c>
      <c r="D46" s="31" t="n">
        <v>100</v>
      </c>
      <c r="H46" s="17" t="s">
        <v>187</v>
      </c>
    </row>
    <row r="47" customFormat="false" ht="15" hidden="false" customHeight="false" outlineLevel="0" collapsed="false">
      <c r="A47" s="17" t="s">
        <v>188</v>
      </c>
      <c r="B47" s="7" t="s">
        <v>189</v>
      </c>
      <c r="C47" s="17" t="s">
        <v>68</v>
      </c>
      <c r="D47" s="28" t="n">
        <v>0.03</v>
      </c>
      <c r="H47" s="17" t="s">
        <v>190</v>
      </c>
    </row>
    <row r="48" customFormat="false" ht="15" hidden="false" customHeight="false" outlineLevel="0" collapsed="false">
      <c r="A48" s="17" t="s">
        <v>191</v>
      </c>
      <c r="B48" s="7" t="s">
        <v>192</v>
      </c>
      <c r="C48" s="17" t="s">
        <v>193</v>
      </c>
      <c r="D48" s="35" t="n">
        <v>2</v>
      </c>
      <c r="H48" s="17" t="s">
        <v>194</v>
      </c>
    </row>
    <row r="49" customFormat="false" ht="15" hidden="false" customHeight="false" outlineLevel="0" collapsed="false">
      <c r="A49" s="17" t="s">
        <v>195</v>
      </c>
      <c r="B49" s="7" t="s">
        <v>196</v>
      </c>
      <c r="C49" s="17" t="s">
        <v>64</v>
      </c>
      <c r="D49" s="25" t="n">
        <v>2032</v>
      </c>
      <c r="H49" s="17" t="s">
        <v>197</v>
      </c>
    </row>
    <row r="50" customFormat="false" ht="15" hidden="false" customHeight="false" outlineLevel="0" collapsed="false">
      <c r="A50" s="17" t="s">
        <v>198</v>
      </c>
      <c r="B50" s="7" t="s">
        <v>199</v>
      </c>
      <c r="C50" s="17" t="s">
        <v>68</v>
      </c>
      <c r="D50" s="28" t="n">
        <v>0.015</v>
      </c>
      <c r="H50" s="17" t="s">
        <v>200</v>
      </c>
    </row>
    <row r="51" customFormat="false" ht="15" hidden="false" customHeight="false" outlineLevel="0" collapsed="false">
      <c r="A51" s="17" t="s">
        <v>201</v>
      </c>
      <c r="B51" s="7" t="s">
        <v>202</v>
      </c>
      <c r="C51" s="17" t="s">
        <v>68</v>
      </c>
      <c r="D51" s="28" t="n">
        <v>0.01</v>
      </c>
      <c r="H51" s="17" t="s">
        <v>203</v>
      </c>
    </row>
    <row r="52" customFormat="false" ht="15" hidden="false" customHeight="false" outlineLevel="0" collapsed="false">
      <c r="A52" s="17" t="s">
        <v>204</v>
      </c>
      <c r="B52" s="7" t="s">
        <v>205</v>
      </c>
      <c r="C52" s="17" t="s">
        <v>68</v>
      </c>
      <c r="D52" s="28" t="n">
        <v>0.05</v>
      </c>
      <c r="H52" s="17" t="s">
        <v>206</v>
      </c>
    </row>
    <row r="53" customFormat="false" ht="15" hidden="false" customHeight="false" outlineLevel="0" collapsed="false">
      <c r="A53" s="17" t="s">
        <v>207</v>
      </c>
      <c r="B53" s="7" t="s">
        <v>208</v>
      </c>
      <c r="C53" s="17" t="s">
        <v>68</v>
      </c>
      <c r="D53" s="28" t="n">
        <v>0.35</v>
      </c>
      <c r="H53" s="17" t="s">
        <v>209</v>
      </c>
    </row>
    <row r="55" customFormat="false" ht="15" hidden="false" customHeight="false" outlineLevel="0" collapsed="false">
      <c r="A55" s="3" t="s">
        <v>56</v>
      </c>
      <c r="B55" s="3" t="s">
        <v>210</v>
      </c>
      <c r="C55" s="3" t="s">
        <v>58</v>
      </c>
      <c r="D55" s="3" t="s">
        <v>16</v>
      </c>
      <c r="E55" s="3" t="s">
        <v>17</v>
      </c>
      <c r="F55" s="3" t="s">
        <v>18</v>
      </c>
      <c r="G55" s="3" t="s">
        <v>19</v>
      </c>
      <c r="H55" s="3" t="s">
        <v>60</v>
      </c>
    </row>
    <row r="56" customFormat="false" ht="15" hidden="false" customHeight="false" outlineLevel="0" collapsed="false">
      <c r="A56" s="5" t="s">
        <v>211</v>
      </c>
      <c r="B56" s="6"/>
      <c r="C56" s="6"/>
      <c r="D56" s="6"/>
      <c r="E56" s="6"/>
      <c r="F56" s="6"/>
      <c r="G56" s="6"/>
      <c r="H56" s="6"/>
    </row>
    <row r="57" customFormat="false" ht="15" hidden="false" customHeight="false" outlineLevel="0" collapsed="false">
      <c r="A57" s="17" t="s">
        <v>212</v>
      </c>
      <c r="B57" s="7" t="s">
        <v>213</v>
      </c>
      <c r="C57" s="17" t="s">
        <v>68</v>
      </c>
      <c r="D57" s="30" t="n">
        <v>0.15</v>
      </c>
      <c r="E57" s="30" t="n">
        <v>0.25</v>
      </c>
      <c r="F57" s="30" t="n">
        <v>0.4</v>
      </c>
      <c r="G57" s="30" t="n">
        <v>0.2</v>
      </c>
      <c r="H57" s="17" t="s">
        <v>214</v>
      </c>
    </row>
    <row r="58" customFormat="false" ht="15" hidden="false" customHeight="false" outlineLevel="0" collapsed="false">
      <c r="A58" s="5" t="s">
        <v>215</v>
      </c>
      <c r="B58" s="6"/>
      <c r="C58" s="6"/>
      <c r="D58" s="6"/>
      <c r="E58" s="6"/>
      <c r="F58" s="6"/>
      <c r="G58" s="6"/>
      <c r="H58" s="6"/>
    </row>
    <row r="59" customFormat="false" ht="15" hidden="false" customHeight="false" outlineLevel="0" collapsed="false">
      <c r="A59" s="17" t="s">
        <v>216</v>
      </c>
      <c r="B59" s="7" t="s">
        <v>217</v>
      </c>
      <c r="C59" s="17" t="s">
        <v>134</v>
      </c>
      <c r="D59" s="33" t="n">
        <v>15</v>
      </c>
      <c r="E59" s="33" t="n">
        <v>20</v>
      </c>
      <c r="F59" s="33" t="n">
        <v>25</v>
      </c>
      <c r="G59" s="33" t="n">
        <v>35</v>
      </c>
      <c r="H59" s="17" t="s">
        <v>218</v>
      </c>
    </row>
    <row r="60" customFormat="false" ht="15" hidden="false" customHeight="false" outlineLevel="0" collapsed="false">
      <c r="A60" s="17" t="s">
        <v>219</v>
      </c>
      <c r="B60" s="7" t="s">
        <v>220</v>
      </c>
      <c r="C60" s="17" t="s">
        <v>134</v>
      </c>
      <c r="D60" s="33" t="n">
        <v>30</v>
      </c>
      <c r="E60" s="33" t="n">
        <v>45</v>
      </c>
      <c r="F60" s="33" t="n">
        <v>60</v>
      </c>
      <c r="G60" s="33" t="n">
        <v>75</v>
      </c>
      <c r="H60" s="17" t="s">
        <v>103</v>
      </c>
    </row>
    <row r="61" customFormat="false" ht="15" hidden="false" customHeight="false" outlineLevel="0" collapsed="false">
      <c r="A61" s="17" t="s">
        <v>221</v>
      </c>
      <c r="B61" s="7" t="s">
        <v>222</v>
      </c>
      <c r="C61" s="17" t="s">
        <v>134</v>
      </c>
      <c r="D61" s="33" t="n">
        <v>45</v>
      </c>
      <c r="E61" s="33" t="n">
        <v>60</v>
      </c>
      <c r="F61" s="33" t="n">
        <v>90</v>
      </c>
      <c r="G61" s="33" t="n">
        <v>100</v>
      </c>
      <c r="H61" s="17" t="s">
        <v>103</v>
      </c>
    </row>
    <row r="62" customFormat="false" ht="15" hidden="false" customHeight="false" outlineLevel="0" collapsed="false">
      <c r="A62" s="17" t="s">
        <v>223</v>
      </c>
      <c r="B62" s="7" t="s">
        <v>224</v>
      </c>
      <c r="C62" s="17" t="s">
        <v>134</v>
      </c>
      <c r="D62" s="33" t="n">
        <v>45</v>
      </c>
      <c r="E62" s="33" t="n">
        <v>75</v>
      </c>
      <c r="F62" s="33" t="n">
        <v>90</v>
      </c>
      <c r="G62" s="33" t="n">
        <v>110</v>
      </c>
      <c r="H62" s="17" t="s">
        <v>103</v>
      </c>
    </row>
    <row r="63" customFormat="false" ht="15" hidden="false" customHeight="false" outlineLevel="0" collapsed="false">
      <c r="A63" s="17" t="s">
        <v>225</v>
      </c>
      <c r="B63" s="7" t="s">
        <v>226</v>
      </c>
      <c r="C63" s="17" t="s">
        <v>134</v>
      </c>
      <c r="D63" s="36" t="n">
        <v>45</v>
      </c>
      <c r="E63" s="36" t="n">
        <v>90</v>
      </c>
      <c r="F63" s="36" t="n">
        <v>90</v>
      </c>
      <c r="G63" s="36" t="n">
        <v>120</v>
      </c>
      <c r="H63" s="17" t="s">
        <v>227</v>
      </c>
    </row>
    <row r="64" customFormat="false" ht="15" hidden="false" customHeight="false" outlineLevel="0" collapsed="false">
      <c r="A64" s="17" t="s">
        <v>228</v>
      </c>
      <c r="B64" s="7" t="s">
        <v>229</v>
      </c>
      <c r="C64" s="17" t="s">
        <v>116</v>
      </c>
      <c r="D64" s="37" t="n">
        <v>25</v>
      </c>
      <c r="E64" s="37" t="n">
        <v>24</v>
      </c>
      <c r="F64" s="37" t="n">
        <v>22</v>
      </c>
      <c r="G64" s="37" t="n">
        <v>21</v>
      </c>
      <c r="H64" s="17" t="s">
        <v>230</v>
      </c>
    </row>
    <row r="65" customFormat="false" ht="15" hidden="false" customHeight="false" outlineLevel="0" collapsed="false">
      <c r="A65" s="17" t="s">
        <v>231</v>
      </c>
      <c r="B65" s="7" t="s">
        <v>232</v>
      </c>
      <c r="C65" s="17" t="s">
        <v>68</v>
      </c>
      <c r="D65" s="28" t="n">
        <v>0.025</v>
      </c>
      <c r="E65" s="28" t="n">
        <v>0.025</v>
      </c>
      <c r="F65" s="28" t="n">
        <v>0.02</v>
      </c>
      <c r="G65" s="28" t="n">
        <v>0.015</v>
      </c>
      <c r="H65" s="17" t="s">
        <v>103</v>
      </c>
    </row>
    <row r="66" customFormat="false" ht="15" hidden="false" customHeight="false" outlineLevel="0" collapsed="false">
      <c r="A66" s="17" t="s">
        <v>233</v>
      </c>
      <c r="B66" s="7" t="s">
        <v>234</v>
      </c>
      <c r="C66" s="17" t="s">
        <v>68</v>
      </c>
      <c r="D66" s="30" t="n">
        <v>0.4</v>
      </c>
      <c r="E66" s="30" t="n">
        <v>0.45</v>
      </c>
      <c r="F66" s="30" t="n">
        <v>0.5</v>
      </c>
      <c r="G66" s="30" t="n">
        <v>0.6</v>
      </c>
      <c r="H66" s="17" t="s">
        <v>235</v>
      </c>
    </row>
    <row r="67" customFormat="false" ht="15" hidden="false" customHeight="false" outlineLevel="0" collapsed="false">
      <c r="A67" s="5" t="s">
        <v>236</v>
      </c>
      <c r="B67" s="6"/>
      <c r="C67" s="6"/>
      <c r="D67" s="6"/>
      <c r="E67" s="6"/>
      <c r="F67" s="6"/>
      <c r="G67" s="6"/>
      <c r="H67" s="6"/>
    </row>
    <row r="68" customFormat="false" ht="15" hidden="false" customHeight="false" outlineLevel="0" collapsed="false">
      <c r="A68" s="17" t="s">
        <v>237</v>
      </c>
      <c r="B68" s="7" t="s">
        <v>238</v>
      </c>
      <c r="C68" s="17" t="s">
        <v>64</v>
      </c>
      <c r="D68" s="38" t="n">
        <v>2029</v>
      </c>
      <c r="E68" s="38" t="n">
        <v>2028</v>
      </c>
      <c r="F68" s="38" t="n">
        <v>2027</v>
      </c>
      <c r="G68" s="38" t="n">
        <v>2027</v>
      </c>
      <c r="H68" s="17" t="s">
        <v>239</v>
      </c>
    </row>
    <row r="69" customFormat="false" ht="15" hidden="false" customHeight="false" outlineLevel="0" collapsed="false">
      <c r="A69" s="17" t="s">
        <v>240</v>
      </c>
      <c r="B69" s="7" t="s">
        <v>241</v>
      </c>
      <c r="C69" s="17" t="s">
        <v>64</v>
      </c>
      <c r="D69" s="25" t="n">
        <v>2031</v>
      </c>
      <c r="E69" s="25" t="n">
        <v>2030</v>
      </c>
      <c r="F69" s="25" t="n">
        <v>2029</v>
      </c>
      <c r="G69" s="25" t="n">
        <v>2028</v>
      </c>
      <c r="H69" s="17" t="s">
        <v>103</v>
      </c>
    </row>
    <row r="70" customFormat="false" ht="15" hidden="false" customHeight="false" outlineLevel="0" collapsed="false">
      <c r="A70" s="17" t="s">
        <v>242</v>
      </c>
      <c r="B70" s="7" t="s">
        <v>243</v>
      </c>
      <c r="C70" s="17" t="s">
        <v>68</v>
      </c>
      <c r="D70" s="30" t="n">
        <v>0.03</v>
      </c>
      <c r="E70" s="30" t="n">
        <v>0.06</v>
      </c>
      <c r="F70" s="30" t="n">
        <v>0.1</v>
      </c>
      <c r="G70" s="30" t="n">
        <v>0.15</v>
      </c>
      <c r="H70" s="17" t="s">
        <v>244</v>
      </c>
    </row>
    <row r="71" customFormat="false" ht="15" hidden="false" customHeight="false" outlineLevel="0" collapsed="false">
      <c r="A71" s="17" t="s">
        <v>245</v>
      </c>
      <c r="B71" s="7" t="s">
        <v>246</v>
      </c>
      <c r="C71" s="17" t="s">
        <v>68</v>
      </c>
      <c r="D71" s="30" t="n">
        <v>0.005</v>
      </c>
      <c r="E71" s="30" t="n">
        <v>0.015</v>
      </c>
      <c r="F71" s="30" t="n">
        <v>0.03</v>
      </c>
      <c r="G71" s="30" t="n">
        <v>0.05</v>
      </c>
      <c r="H71" s="17" t="s">
        <v>103</v>
      </c>
    </row>
    <row r="72" customFormat="false" ht="15" hidden="false" customHeight="false" outlineLevel="0" collapsed="false">
      <c r="A72" s="17" t="s">
        <v>247</v>
      </c>
      <c r="B72" s="7" t="s">
        <v>248</v>
      </c>
      <c r="C72" s="17" t="s">
        <v>127</v>
      </c>
      <c r="D72" s="34" t="n">
        <v>8</v>
      </c>
      <c r="E72" s="34" t="n">
        <v>7</v>
      </c>
      <c r="F72" s="34" t="n">
        <v>6</v>
      </c>
      <c r="G72" s="34" t="n">
        <v>5</v>
      </c>
      <c r="H72" s="17" t="s">
        <v>249</v>
      </c>
    </row>
    <row r="73" customFormat="false" ht="15" hidden="false" customHeight="false" outlineLevel="0" collapsed="false">
      <c r="A73" s="17" t="s">
        <v>250</v>
      </c>
      <c r="B73" s="7" t="s">
        <v>251</v>
      </c>
      <c r="C73" s="17" t="s">
        <v>252</v>
      </c>
      <c r="D73" s="39" t="n">
        <v>3.5</v>
      </c>
      <c r="E73" s="39" t="n">
        <v>4.25</v>
      </c>
      <c r="F73" s="39" t="n">
        <v>5</v>
      </c>
      <c r="G73" s="39" t="n">
        <v>6</v>
      </c>
      <c r="H73" s="17" t="s">
        <v>253</v>
      </c>
    </row>
    <row r="74" customFormat="false" ht="15" hidden="false" customHeight="false" outlineLevel="0" collapsed="false">
      <c r="A74" s="17" t="s">
        <v>254</v>
      </c>
      <c r="B74" s="7" t="s">
        <v>255</v>
      </c>
      <c r="C74" s="17" t="s">
        <v>252</v>
      </c>
      <c r="D74" s="40" t="n">
        <v>0.4</v>
      </c>
      <c r="E74" s="40" t="n">
        <v>0.6</v>
      </c>
      <c r="F74" s="40" t="n">
        <v>0.75</v>
      </c>
      <c r="G74" s="40" t="n">
        <v>1</v>
      </c>
      <c r="H74" s="17" t="s">
        <v>256</v>
      </c>
    </row>
    <row r="75" customFormat="false" ht="15" hidden="false" customHeight="false" outlineLevel="0" collapsed="false">
      <c r="A75" s="17" t="s">
        <v>257</v>
      </c>
      <c r="B75" s="7" t="s">
        <v>258</v>
      </c>
      <c r="C75" s="17" t="s">
        <v>68</v>
      </c>
      <c r="D75" s="28" t="n">
        <v>-0.03</v>
      </c>
      <c r="E75" s="28" t="n">
        <v>-0.02</v>
      </c>
      <c r="F75" s="28" t="n">
        <v>-0.01</v>
      </c>
      <c r="G75" s="28" t="n">
        <v>0</v>
      </c>
      <c r="H75" s="17" t="s">
        <v>259</v>
      </c>
    </row>
    <row r="76" customFormat="false" ht="15" hidden="false" customHeight="false" outlineLevel="0" collapsed="false">
      <c r="A76" s="17" t="s">
        <v>260</v>
      </c>
      <c r="B76" s="7" t="s">
        <v>261</v>
      </c>
      <c r="C76" s="17" t="s">
        <v>68</v>
      </c>
      <c r="D76" s="28" t="n">
        <v>0.15</v>
      </c>
      <c r="E76" s="28" t="n">
        <v>0.13</v>
      </c>
      <c r="F76" s="28" t="n">
        <v>0.12</v>
      </c>
      <c r="G76" s="28" t="n">
        <v>0.11</v>
      </c>
      <c r="H76" s="17" t="s">
        <v>103</v>
      </c>
    </row>
    <row r="77" customFormat="false" ht="15" hidden="false" customHeight="false" outlineLevel="0" collapsed="false">
      <c r="A77" s="5" t="s">
        <v>262</v>
      </c>
      <c r="B77" s="6"/>
      <c r="C77" s="6"/>
      <c r="D77" s="6"/>
      <c r="E77" s="6"/>
      <c r="F77" s="6"/>
      <c r="G77" s="6"/>
      <c r="H77" s="6"/>
    </row>
    <row r="78" customFormat="false" ht="15" hidden="false" customHeight="false" outlineLevel="0" collapsed="false">
      <c r="A78" s="17" t="s">
        <v>263</v>
      </c>
      <c r="B78" s="7" t="s">
        <v>264</v>
      </c>
      <c r="C78" s="17" t="s">
        <v>116</v>
      </c>
      <c r="D78" s="31" t="n">
        <v>35</v>
      </c>
      <c r="E78" s="31" t="n">
        <v>40</v>
      </c>
      <c r="F78" s="31" t="n">
        <v>45</v>
      </c>
      <c r="G78" s="31" t="n">
        <v>50</v>
      </c>
      <c r="H78" s="17" t="s">
        <v>265</v>
      </c>
    </row>
    <row r="79" customFormat="false" ht="15" hidden="false" customHeight="false" outlineLevel="0" collapsed="false">
      <c r="A79" s="17" t="s">
        <v>266</v>
      </c>
      <c r="B79" s="7" t="s">
        <v>267</v>
      </c>
      <c r="C79" s="17" t="s">
        <v>116</v>
      </c>
      <c r="D79" s="31" t="n">
        <v>60</v>
      </c>
      <c r="E79" s="31" t="n">
        <v>80</v>
      </c>
      <c r="F79" s="31" t="n">
        <v>100</v>
      </c>
      <c r="G79" s="31" t="n">
        <v>130</v>
      </c>
      <c r="H79" s="17" t="s">
        <v>103</v>
      </c>
    </row>
    <row r="80" customFormat="false" ht="15" hidden="false" customHeight="false" outlineLevel="0" collapsed="false">
      <c r="A80" s="17" t="s">
        <v>268</v>
      </c>
      <c r="B80" s="7" t="s">
        <v>269</v>
      </c>
      <c r="C80" s="17" t="s">
        <v>116</v>
      </c>
      <c r="D80" s="31" t="n">
        <v>80</v>
      </c>
      <c r="E80" s="31" t="n">
        <v>120</v>
      </c>
      <c r="F80" s="31" t="n">
        <v>160</v>
      </c>
      <c r="G80" s="31" t="n">
        <v>220</v>
      </c>
      <c r="H80" s="17" t="s">
        <v>103</v>
      </c>
    </row>
    <row r="81" customFormat="false" ht="15" hidden="false" customHeight="false" outlineLevel="0" collapsed="false">
      <c r="A81" s="17" t="s">
        <v>270</v>
      </c>
      <c r="B81" s="7" t="s">
        <v>271</v>
      </c>
      <c r="C81" s="17" t="s">
        <v>116</v>
      </c>
      <c r="D81" s="31" t="n">
        <v>90</v>
      </c>
      <c r="E81" s="31" t="n">
        <v>150</v>
      </c>
      <c r="F81" s="31" t="n">
        <v>220</v>
      </c>
      <c r="G81" s="31" t="n">
        <v>320</v>
      </c>
      <c r="H81" s="17" t="s">
        <v>103</v>
      </c>
    </row>
    <row r="82" customFormat="false" ht="15" hidden="false" customHeight="false" outlineLevel="0" collapsed="false">
      <c r="A82" s="17" t="s">
        <v>272</v>
      </c>
      <c r="B82" s="7" t="s">
        <v>273</v>
      </c>
      <c r="C82" s="17" t="s">
        <v>116</v>
      </c>
      <c r="D82" s="31" t="n">
        <v>100</v>
      </c>
      <c r="E82" s="31" t="n">
        <v>180</v>
      </c>
      <c r="F82" s="31" t="n">
        <v>280</v>
      </c>
      <c r="G82" s="31" t="n">
        <v>420</v>
      </c>
      <c r="H82" s="17" t="s">
        <v>103</v>
      </c>
    </row>
    <row r="83" customFormat="false" ht="15" hidden="false" customHeight="false" outlineLevel="0" collapsed="false">
      <c r="A83" s="17" t="s">
        <v>274</v>
      </c>
      <c r="B83" s="7" t="s">
        <v>275</v>
      </c>
      <c r="C83" s="17" t="s">
        <v>68</v>
      </c>
      <c r="D83" s="28" t="n">
        <v>0.02</v>
      </c>
      <c r="E83" s="28" t="n">
        <v>0.04</v>
      </c>
      <c r="F83" s="28" t="n">
        <v>0.06</v>
      </c>
      <c r="G83" s="28" t="n">
        <v>0.08</v>
      </c>
      <c r="H83" s="17" t="s">
        <v>103</v>
      </c>
    </row>
    <row r="84" customFormat="false" ht="15" hidden="false" customHeight="false" outlineLevel="0" collapsed="false">
      <c r="A84" s="17" t="s">
        <v>276</v>
      </c>
      <c r="B84" s="7" t="s">
        <v>277</v>
      </c>
      <c r="C84" s="17" t="s">
        <v>116</v>
      </c>
      <c r="D84" s="31" t="n">
        <v>70</v>
      </c>
      <c r="E84" s="31" t="n">
        <v>80</v>
      </c>
      <c r="F84" s="31" t="n">
        <v>83.7</v>
      </c>
      <c r="G84" s="31" t="n">
        <v>90</v>
      </c>
      <c r="H84" s="17" t="s">
        <v>278</v>
      </c>
    </row>
    <row r="85" customFormat="false" ht="15" hidden="false" customHeight="false" outlineLevel="0" collapsed="false">
      <c r="A85" s="17" t="s">
        <v>279</v>
      </c>
      <c r="B85" s="7" t="s">
        <v>280</v>
      </c>
      <c r="C85" s="17" t="s">
        <v>116</v>
      </c>
      <c r="D85" s="31" t="n">
        <v>60</v>
      </c>
      <c r="E85" s="31" t="n">
        <v>90</v>
      </c>
      <c r="F85" s="31" t="n">
        <v>120</v>
      </c>
      <c r="G85" s="31" t="n">
        <v>150</v>
      </c>
      <c r="H85" s="17" t="s">
        <v>103</v>
      </c>
    </row>
    <row r="86" customFormat="false" ht="15" hidden="false" customHeight="false" outlineLevel="0" collapsed="false">
      <c r="A86" s="17" t="s">
        <v>281</v>
      </c>
      <c r="B86" s="7" t="s">
        <v>282</v>
      </c>
      <c r="C86" s="17" t="s">
        <v>116</v>
      </c>
      <c r="D86" s="31" t="n">
        <v>30</v>
      </c>
      <c r="E86" s="31" t="n">
        <v>50</v>
      </c>
      <c r="F86" s="31" t="n">
        <v>80</v>
      </c>
      <c r="G86" s="31" t="n">
        <v>100</v>
      </c>
      <c r="H86" s="17" t="s">
        <v>103</v>
      </c>
    </row>
    <row r="87" customFormat="false" ht="15" hidden="false" customHeight="false" outlineLevel="0" collapsed="false">
      <c r="A87" s="17" t="s">
        <v>283</v>
      </c>
      <c r="B87" s="7" t="s">
        <v>284</v>
      </c>
      <c r="C87" s="17" t="s">
        <v>116</v>
      </c>
      <c r="D87" s="31" t="n">
        <v>20</v>
      </c>
      <c r="E87" s="31" t="n">
        <v>30</v>
      </c>
      <c r="F87" s="31" t="n">
        <v>40</v>
      </c>
      <c r="G87" s="31" t="n">
        <v>50</v>
      </c>
      <c r="H87" s="17" t="s">
        <v>103</v>
      </c>
    </row>
    <row r="88" customFormat="false" ht="15" hidden="false" customHeight="false" outlineLevel="0" collapsed="false">
      <c r="A88" s="5" t="s">
        <v>285</v>
      </c>
      <c r="B88" s="6"/>
      <c r="C88" s="6"/>
      <c r="D88" s="6"/>
      <c r="E88" s="6"/>
      <c r="F88" s="6"/>
      <c r="G88" s="6"/>
      <c r="H88" s="6"/>
    </row>
    <row r="89" customFormat="false" ht="15" hidden="false" customHeight="false" outlineLevel="0" collapsed="false">
      <c r="A89" s="17" t="s">
        <v>286</v>
      </c>
      <c r="B89" s="7" t="s">
        <v>287</v>
      </c>
      <c r="C89" s="17" t="s">
        <v>116</v>
      </c>
      <c r="D89" s="31" t="n">
        <v>215</v>
      </c>
      <c r="E89" s="31" t="n">
        <v>210</v>
      </c>
      <c r="F89" s="31" t="n">
        <v>210</v>
      </c>
      <c r="G89" s="31" t="n">
        <v>205</v>
      </c>
      <c r="H89" s="17" t="s">
        <v>288</v>
      </c>
    </row>
    <row r="90" customFormat="false" ht="15" hidden="false" customHeight="false" outlineLevel="0" collapsed="false">
      <c r="A90" s="17" t="s">
        <v>289</v>
      </c>
      <c r="B90" s="7" t="s">
        <v>290</v>
      </c>
      <c r="C90" s="17" t="s">
        <v>116</v>
      </c>
      <c r="D90" s="31" t="n">
        <v>480</v>
      </c>
      <c r="E90" s="31" t="n">
        <v>470</v>
      </c>
      <c r="F90" s="31" t="n">
        <v>460</v>
      </c>
      <c r="G90" s="31" t="n">
        <v>450</v>
      </c>
      <c r="H90" s="17" t="s">
        <v>103</v>
      </c>
    </row>
    <row r="91" customFormat="false" ht="15" hidden="false" customHeight="false" outlineLevel="0" collapsed="false">
      <c r="A91" s="17" t="s">
        <v>291</v>
      </c>
      <c r="B91" s="7" t="s">
        <v>292</v>
      </c>
      <c r="C91" s="17" t="s">
        <v>68</v>
      </c>
      <c r="D91" s="28" t="n">
        <v>0.08</v>
      </c>
      <c r="E91" s="28" t="n">
        <v>0.09</v>
      </c>
      <c r="F91" s="28" t="n">
        <v>0.1</v>
      </c>
      <c r="G91" s="28" t="n">
        <v>0.12</v>
      </c>
      <c r="H91" s="17" t="s">
        <v>103</v>
      </c>
    </row>
    <row r="92" customFormat="false" ht="15" hidden="false" customHeight="false" outlineLevel="0" collapsed="false">
      <c r="A92" s="17" t="s">
        <v>293</v>
      </c>
      <c r="B92" s="7" t="s">
        <v>294</v>
      </c>
      <c r="C92" s="17" t="s">
        <v>68</v>
      </c>
      <c r="D92" s="28" t="n">
        <v>0.05</v>
      </c>
      <c r="E92" s="28" t="n">
        <v>0.07</v>
      </c>
      <c r="F92" s="28" t="n">
        <v>0.08</v>
      </c>
      <c r="G92" s="28" t="n">
        <v>0.1</v>
      </c>
      <c r="H92" s="17" t="s">
        <v>103</v>
      </c>
    </row>
    <row r="93" customFormat="false" ht="15" hidden="false" customHeight="false" outlineLevel="0" collapsed="false">
      <c r="A93" s="17" t="s">
        <v>295</v>
      </c>
      <c r="B93" s="7" t="s">
        <v>296</v>
      </c>
      <c r="C93" s="17" t="s">
        <v>68</v>
      </c>
      <c r="D93" s="28" t="n">
        <v>0.03</v>
      </c>
      <c r="E93" s="28" t="n">
        <v>0.05</v>
      </c>
      <c r="F93" s="28" t="n">
        <v>0.06</v>
      </c>
      <c r="G93" s="28" t="n">
        <v>0.08</v>
      </c>
      <c r="H93" s="17" t="s">
        <v>103</v>
      </c>
    </row>
    <row r="94" customFormat="false" ht="15" hidden="false" customHeight="false" outlineLevel="0" collapsed="false">
      <c r="A94" s="17" t="s">
        <v>297</v>
      </c>
      <c r="B94" s="7" t="s">
        <v>298</v>
      </c>
      <c r="C94" s="17" t="s">
        <v>68</v>
      </c>
      <c r="D94" s="28" t="n">
        <v>0.035</v>
      </c>
      <c r="E94" s="28" t="n">
        <v>0.035</v>
      </c>
      <c r="F94" s="28" t="n">
        <v>0.035</v>
      </c>
      <c r="G94" s="28" t="n">
        <v>0.035</v>
      </c>
      <c r="H94" s="17" t="s">
        <v>299</v>
      </c>
    </row>
    <row r="95" customFormat="false" ht="15" hidden="false" customHeight="false" outlineLevel="0" collapsed="false">
      <c r="A95" s="17" t="s">
        <v>300</v>
      </c>
      <c r="B95" s="7" t="s">
        <v>301</v>
      </c>
      <c r="C95" s="17" t="s">
        <v>116</v>
      </c>
      <c r="D95" s="31" t="n">
        <v>125</v>
      </c>
      <c r="E95" s="31" t="n">
        <v>125</v>
      </c>
      <c r="F95" s="31" t="n">
        <v>120</v>
      </c>
      <c r="G95" s="31" t="n">
        <v>120</v>
      </c>
      <c r="H95" s="17" t="s">
        <v>302</v>
      </c>
    </row>
    <row r="96" customFormat="false" ht="15" hidden="false" customHeight="false" outlineLevel="0" collapsed="false">
      <c r="A96" s="17" t="s">
        <v>303</v>
      </c>
      <c r="B96" s="7" t="s">
        <v>304</v>
      </c>
      <c r="C96" s="17" t="s">
        <v>116</v>
      </c>
      <c r="D96" s="31" t="n">
        <v>250</v>
      </c>
      <c r="E96" s="31" t="n">
        <v>240</v>
      </c>
      <c r="F96" s="31" t="n">
        <v>230</v>
      </c>
      <c r="G96" s="31" t="n">
        <v>230</v>
      </c>
      <c r="H96" s="17" t="s">
        <v>103</v>
      </c>
    </row>
    <row r="97" customFormat="false" ht="15" hidden="false" customHeight="false" outlineLevel="0" collapsed="false">
      <c r="A97" s="17" t="s">
        <v>305</v>
      </c>
      <c r="B97" s="7" t="s">
        <v>306</v>
      </c>
      <c r="C97" s="17" t="s">
        <v>68</v>
      </c>
      <c r="D97" s="28" t="n">
        <v>0.08</v>
      </c>
      <c r="E97" s="28" t="n">
        <v>0.1</v>
      </c>
      <c r="F97" s="28" t="n">
        <v>0.1</v>
      </c>
      <c r="G97" s="28" t="n">
        <v>0.12</v>
      </c>
      <c r="H97" s="17" t="s">
        <v>103</v>
      </c>
    </row>
    <row r="98" customFormat="false" ht="15" hidden="false" customHeight="false" outlineLevel="0" collapsed="false">
      <c r="A98" s="17" t="s">
        <v>307</v>
      </c>
      <c r="B98" s="7" t="s">
        <v>308</v>
      </c>
      <c r="C98" s="17" t="s">
        <v>68</v>
      </c>
      <c r="D98" s="28" t="n">
        <v>0.04</v>
      </c>
      <c r="E98" s="28" t="n">
        <v>0.035</v>
      </c>
      <c r="F98" s="28" t="n">
        <v>0.035</v>
      </c>
      <c r="G98" s="28" t="n">
        <v>0.03</v>
      </c>
      <c r="H98" s="17" t="s">
        <v>103</v>
      </c>
    </row>
    <row r="99" customFormat="false" ht="15" hidden="false" customHeight="false" outlineLevel="0" collapsed="false">
      <c r="A99" s="5" t="s">
        <v>309</v>
      </c>
      <c r="B99" s="6"/>
      <c r="C99" s="6"/>
      <c r="D99" s="6"/>
      <c r="E99" s="6"/>
      <c r="F99" s="6"/>
      <c r="G99" s="6"/>
      <c r="H99" s="6"/>
    </row>
    <row r="100" customFormat="false" ht="15" hidden="false" customHeight="false" outlineLevel="0" collapsed="false">
      <c r="A100" s="17" t="s">
        <v>310</v>
      </c>
      <c r="B100" s="7" t="s">
        <v>311</v>
      </c>
      <c r="C100" s="17" t="s">
        <v>116</v>
      </c>
      <c r="D100" s="31" t="n">
        <v>180</v>
      </c>
      <c r="E100" s="31" t="n">
        <v>170</v>
      </c>
      <c r="F100" s="31" t="n">
        <v>150</v>
      </c>
      <c r="G100" s="31" t="n">
        <v>150</v>
      </c>
      <c r="H100" s="17" t="s">
        <v>103</v>
      </c>
    </row>
    <row r="101" customFormat="false" ht="15" hidden="false" customHeight="false" outlineLevel="0" collapsed="false">
      <c r="A101" s="17" t="s">
        <v>312</v>
      </c>
      <c r="B101" s="7" t="s">
        <v>313</v>
      </c>
      <c r="C101" s="17" t="s">
        <v>116</v>
      </c>
      <c r="D101" s="31" t="n">
        <v>250</v>
      </c>
      <c r="E101" s="31" t="n">
        <v>230</v>
      </c>
      <c r="F101" s="31" t="n">
        <v>200</v>
      </c>
      <c r="G101" s="31" t="n">
        <v>220</v>
      </c>
      <c r="H101" s="17" t="s">
        <v>103</v>
      </c>
    </row>
    <row r="102" customFormat="false" ht="15" hidden="false" customHeight="false" outlineLevel="0" collapsed="false">
      <c r="A102" s="17" t="s">
        <v>314</v>
      </c>
      <c r="B102" s="7" t="s">
        <v>315</v>
      </c>
      <c r="C102" s="17" t="s">
        <v>116</v>
      </c>
      <c r="D102" s="31" t="n">
        <v>150</v>
      </c>
      <c r="E102" s="31" t="n">
        <v>170</v>
      </c>
      <c r="F102" s="31" t="n">
        <v>150</v>
      </c>
      <c r="G102" s="31" t="n">
        <v>180</v>
      </c>
      <c r="H102" s="17" t="s">
        <v>103</v>
      </c>
    </row>
    <row r="103" customFormat="false" ht="15" hidden="false" customHeight="false" outlineLevel="0" collapsed="false">
      <c r="A103" s="17" t="s">
        <v>316</v>
      </c>
      <c r="B103" s="7" t="s">
        <v>317</v>
      </c>
      <c r="C103" s="17" t="s">
        <v>68</v>
      </c>
      <c r="D103" s="28" t="n">
        <v>0.04</v>
      </c>
      <c r="E103" s="28" t="n">
        <v>0.035</v>
      </c>
      <c r="F103" s="28" t="n">
        <v>0.03</v>
      </c>
      <c r="G103" s="28" t="n">
        <v>0.03</v>
      </c>
      <c r="H103" s="17" t="s">
        <v>103</v>
      </c>
    </row>
    <row r="104" customFormat="false" ht="15" hidden="false" customHeight="false" outlineLevel="0" collapsed="false">
      <c r="A104" s="17" t="s">
        <v>318</v>
      </c>
      <c r="B104" s="7" t="s">
        <v>319</v>
      </c>
      <c r="C104" s="17" t="s">
        <v>116</v>
      </c>
      <c r="D104" s="31" t="n">
        <v>60</v>
      </c>
      <c r="E104" s="31" t="n">
        <v>80</v>
      </c>
      <c r="F104" s="31" t="n">
        <v>80</v>
      </c>
      <c r="G104" s="31" t="n">
        <v>100</v>
      </c>
      <c r="H104" s="17" t="s">
        <v>103</v>
      </c>
    </row>
    <row r="105" customFormat="false" ht="15" hidden="false" customHeight="false" outlineLevel="0" collapsed="false">
      <c r="A105" s="17" t="s">
        <v>320</v>
      </c>
      <c r="B105" s="7" t="s">
        <v>321</v>
      </c>
      <c r="C105" s="17" t="s">
        <v>116</v>
      </c>
      <c r="D105" s="31" t="n">
        <v>0</v>
      </c>
      <c r="E105" s="31" t="n">
        <v>0</v>
      </c>
      <c r="F105" s="31" t="n">
        <v>0</v>
      </c>
      <c r="G105" s="31" t="n">
        <v>300</v>
      </c>
      <c r="H105" s="17" t="s">
        <v>322</v>
      </c>
    </row>
    <row r="107" customFormat="false" ht="15" hidden="false" customHeight="false" outlineLevel="0" collapsed="false">
      <c r="B107" s="3" t="s">
        <v>323</v>
      </c>
      <c r="D107" s="41" t="n">
        <f aca="false">SUM(D57:G57)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5"/>
    <col collapsed="false" customWidth="true" hidden="false" outlineLevel="0" max="6" min="3" style="0" width="13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324</v>
      </c>
    </row>
    <row r="2" customFormat="false" ht="15" hidden="false" customHeight="false" outlineLevel="0" collapsed="false">
      <c r="A2" s="2" t="s">
        <v>325</v>
      </c>
    </row>
    <row r="4" customFormat="false" ht="15" hidden="false" customHeight="false" outlineLevel="0" collapsed="false">
      <c r="A4" s="5" t="s">
        <v>326</v>
      </c>
      <c r="B4" s="6"/>
      <c r="C4" s="6"/>
      <c r="D4" s="6"/>
      <c r="E4" s="6"/>
      <c r="F4" s="6"/>
      <c r="G4" s="6"/>
    </row>
    <row r="5" customFormat="false" ht="15" hidden="false" customHeight="false" outlineLevel="0" collapsed="false">
      <c r="A5" s="3" t="s">
        <v>327</v>
      </c>
      <c r="B5" s="3" t="s">
        <v>328</v>
      </c>
      <c r="G5" s="3" t="s">
        <v>329</v>
      </c>
    </row>
    <row r="6" customFormat="false" ht="15" hidden="false" customHeight="false" outlineLevel="0" collapsed="false">
      <c r="A6" s="7" t="s">
        <v>330</v>
      </c>
      <c r="B6" s="33" t="n">
        <v>299789305</v>
      </c>
      <c r="G6" s="17" t="s">
        <v>331</v>
      </c>
    </row>
    <row r="7" customFormat="false" ht="15" hidden="false" customHeight="false" outlineLevel="0" collapsed="false">
      <c r="A7" s="7" t="s">
        <v>332</v>
      </c>
      <c r="B7" s="33" t="n">
        <v>11215111</v>
      </c>
      <c r="G7" s="17" t="s">
        <v>331</v>
      </c>
    </row>
    <row r="8" customFormat="false" ht="15" hidden="false" customHeight="false" outlineLevel="0" collapsed="false">
      <c r="A8" s="7" t="s">
        <v>333</v>
      </c>
      <c r="B8" s="33" t="n">
        <v>78163078</v>
      </c>
      <c r="G8" s="17" t="s">
        <v>331</v>
      </c>
    </row>
    <row r="9" customFormat="false" ht="15" hidden="false" customHeight="false" outlineLevel="0" collapsed="false">
      <c r="A9" s="3" t="s">
        <v>334</v>
      </c>
      <c r="B9" s="42" t="n">
        <f aca="false">SUM(B6:B8)/1000000</f>
        <v>389.167494</v>
      </c>
      <c r="G9" s="17" t="s">
        <v>335</v>
      </c>
    </row>
    <row r="11" customFormat="false" ht="15" hidden="false" customHeight="false" outlineLevel="0" collapsed="false">
      <c r="A11" s="5" t="s">
        <v>336</v>
      </c>
      <c r="B11" s="6"/>
      <c r="C11" s="6"/>
      <c r="D11" s="6"/>
      <c r="E11" s="6"/>
      <c r="F11" s="6"/>
      <c r="G11" s="6"/>
    </row>
    <row r="12" customFormat="false" ht="15" hidden="false" customHeight="false" outlineLevel="0" collapsed="false">
      <c r="A12" s="3" t="s">
        <v>337</v>
      </c>
      <c r="B12" s="3" t="s">
        <v>116</v>
      </c>
      <c r="C12" s="3" t="s">
        <v>338</v>
      </c>
      <c r="D12" s="3" t="s">
        <v>339</v>
      </c>
    </row>
    <row r="13" customFormat="false" ht="15" hidden="false" customHeight="false" outlineLevel="0" collapsed="false">
      <c r="A13" s="7" t="s">
        <v>340</v>
      </c>
      <c r="B13" s="31" t="n">
        <v>2288.253</v>
      </c>
      <c r="C13" s="25" t="n">
        <v>1</v>
      </c>
      <c r="D13" s="42" t="n">
        <f aca="false">B13*C13</f>
        <v>2288.253</v>
      </c>
      <c r="G13" s="17" t="s">
        <v>341</v>
      </c>
    </row>
    <row r="14" customFormat="false" ht="15" hidden="false" customHeight="false" outlineLevel="0" collapsed="false">
      <c r="A14" s="7" t="s">
        <v>342</v>
      </c>
      <c r="B14" s="31" t="n">
        <v>428.4</v>
      </c>
      <c r="C14" s="25" t="n">
        <v>1</v>
      </c>
      <c r="D14" s="42" t="n">
        <f aca="false">B14*C14</f>
        <v>428.4</v>
      </c>
      <c r="G14" s="17" t="s">
        <v>343</v>
      </c>
    </row>
    <row r="15" customFormat="false" ht="15" hidden="false" customHeight="false" outlineLevel="0" collapsed="false">
      <c r="A15" s="7" t="s">
        <v>344</v>
      </c>
      <c r="B15" s="31" t="n">
        <v>6.181</v>
      </c>
      <c r="C15" s="25" t="n">
        <v>0</v>
      </c>
      <c r="D15" s="42" t="n">
        <f aca="false">B15*C15</f>
        <v>0</v>
      </c>
      <c r="G15" s="17" t="s">
        <v>345</v>
      </c>
    </row>
    <row r="16" customFormat="false" ht="15" hidden="false" customHeight="false" outlineLevel="0" collapsed="false">
      <c r="A16" s="7" t="s">
        <v>346</v>
      </c>
      <c r="B16" s="31" t="n">
        <v>1150</v>
      </c>
      <c r="C16" s="25" t="n">
        <v>1</v>
      </c>
      <c r="D16" s="42" t="n">
        <f aca="false">B16*C16</f>
        <v>1150</v>
      </c>
      <c r="G16" s="17" t="s">
        <v>347</v>
      </c>
    </row>
    <row r="17" customFormat="false" ht="15" hidden="false" customHeight="false" outlineLevel="0" collapsed="false">
      <c r="A17" s="7" t="s">
        <v>348</v>
      </c>
      <c r="B17" s="31" t="n">
        <v>-18.8</v>
      </c>
      <c r="C17" s="25" t="n">
        <v>1</v>
      </c>
      <c r="D17" s="42" t="n">
        <f aca="false">B17*C17</f>
        <v>-18.8</v>
      </c>
      <c r="G17" s="17" t="s">
        <v>349</v>
      </c>
    </row>
    <row r="18" customFormat="false" ht="15" hidden="false" customHeight="false" outlineLevel="0" collapsed="false">
      <c r="A18" s="7" t="s">
        <v>350</v>
      </c>
      <c r="B18" s="31" t="n">
        <v>-111.435</v>
      </c>
      <c r="C18" s="25" t="n">
        <v>1</v>
      </c>
      <c r="D18" s="42" t="n">
        <f aca="false">B18*C18</f>
        <v>-111.435</v>
      </c>
      <c r="G18" s="17" t="s">
        <v>351</v>
      </c>
    </row>
    <row r="19" customFormat="false" ht="15" hidden="false" customHeight="false" outlineLevel="0" collapsed="false">
      <c r="A19" s="7" t="s">
        <v>352</v>
      </c>
      <c r="B19" s="31" t="n">
        <v>18.785</v>
      </c>
      <c r="C19" s="25" t="n">
        <v>1</v>
      </c>
      <c r="D19" s="42" t="n">
        <f aca="false">B19*C19</f>
        <v>18.785</v>
      </c>
      <c r="G19" s="17" t="s">
        <v>341</v>
      </c>
    </row>
    <row r="20" customFormat="false" ht="15" hidden="false" customHeight="false" outlineLevel="0" collapsed="false">
      <c r="A20" s="3" t="s">
        <v>353</v>
      </c>
      <c r="D20" s="43" t="n">
        <f aca="false">SUM(D13:D19)</f>
        <v>3755.203</v>
      </c>
    </row>
    <row r="21" customFormat="false" ht="15" hidden="false" customHeight="false" outlineLevel="0" collapsed="false">
      <c r="A21" s="7" t="s">
        <v>354</v>
      </c>
      <c r="D21" s="42" t="n">
        <f aca="false">D13+D14+B15+D16+D17+D18</f>
        <v>3742.599</v>
      </c>
      <c r="G21" s="17" t="s">
        <v>355</v>
      </c>
    </row>
    <row r="23" customFormat="false" ht="15" hidden="false" customHeight="false" outlineLevel="0" collapsed="false">
      <c r="A23" s="5" t="s">
        <v>356</v>
      </c>
      <c r="B23" s="6"/>
      <c r="C23" s="6"/>
      <c r="D23" s="6"/>
      <c r="E23" s="6"/>
      <c r="F23" s="6"/>
      <c r="G23" s="6"/>
    </row>
    <row r="24" customFormat="false" ht="15" hidden="false" customHeight="false" outlineLevel="0" collapsed="false">
      <c r="A24" s="7" t="s">
        <v>357</v>
      </c>
      <c r="B24" s="31" t="n">
        <v>48.638</v>
      </c>
      <c r="G24" s="17" t="s">
        <v>358</v>
      </c>
    </row>
    <row r="25" customFormat="false" ht="15" hidden="false" customHeight="false" outlineLevel="0" collapsed="false">
      <c r="A25" s="7" t="s">
        <v>359</v>
      </c>
      <c r="B25" s="31" t="n">
        <v>420</v>
      </c>
      <c r="G25" s="17" t="s">
        <v>358</v>
      </c>
    </row>
    <row r="26" customFormat="false" ht="15" hidden="false" customHeight="false" outlineLevel="0" collapsed="false">
      <c r="A26" s="3" t="s">
        <v>360</v>
      </c>
      <c r="B26" s="43" t="n">
        <f aca="false">SUM(B24:B25)</f>
        <v>468.638</v>
      </c>
    </row>
    <row r="28" customFormat="false" ht="15" hidden="false" customHeight="false" outlineLevel="0" collapsed="false">
      <c r="A28" s="5" t="s">
        <v>361</v>
      </c>
      <c r="B28" s="6"/>
      <c r="C28" s="6"/>
      <c r="D28" s="6"/>
      <c r="E28" s="6"/>
      <c r="F28" s="6"/>
      <c r="G28" s="6"/>
    </row>
    <row r="29" customFormat="false" ht="15" hidden="false" customHeight="false" outlineLevel="0" collapsed="false">
      <c r="A29" s="3" t="s">
        <v>362</v>
      </c>
      <c r="B29" s="3" t="s">
        <v>363</v>
      </c>
      <c r="C29" s="3" t="s">
        <v>364</v>
      </c>
      <c r="D29" s="3" t="s">
        <v>365</v>
      </c>
      <c r="E29" s="3" t="s">
        <v>366</v>
      </c>
      <c r="F29" s="3" t="s">
        <v>367</v>
      </c>
      <c r="G29" s="3" t="s">
        <v>329</v>
      </c>
    </row>
    <row r="30" customFormat="false" ht="15" hidden="false" customHeight="false" outlineLevel="0" collapsed="false">
      <c r="A30" s="7" t="s">
        <v>368</v>
      </c>
      <c r="B30" s="31" t="n">
        <v>3.514</v>
      </c>
      <c r="C30" s="44" t="n">
        <v>26.99</v>
      </c>
      <c r="D30" s="44" t="n">
        <v>0</v>
      </c>
      <c r="E30" s="45" t="n">
        <f aca="false">B30/C30</f>
        <v>0.130196369025565</v>
      </c>
      <c r="F30" s="46" t="n">
        <f aca="false">IF(D30&gt;0,D30,C30)</f>
        <v>26.99</v>
      </c>
      <c r="G30" s="17" t="s">
        <v>369</v>
      </c>
    </row>
    <row r="31" customFormat="false" ht="15" hidden="false" customHeight="false" outlineLevel="0" collapsed="false">
      <c r="A31" s="7" t="s">
        <v>370</v>
      </c>
      <c r="B31" s="31" t="n">
        <v>325</v>
      </c>
      <c r="C31" s="44" t="n">
        <v>72.07</v>
      </c>
      <c r="D31" s="44" t="n">
        <v>0</v>
      </c>
      <c r="E31" s="45" t="n">
        <f aca="false">B31/C31</f>
        <v>4.50950464825864</v>
      </c>
      <c r="F31" s="46" t="n">
        <f aca="false">IF(D31&gt;0,D31,C31)</f>
        <v>72.07</v>
      </c>
      <c r="G31" s="17" t="s">
        <v>371</v>
      </c>
    </row>
    <row r="32" customFormat="false" ht="15" hidden="false" customHeight="false" outlineLevel="0" collapsed="false">
      <c r="A32" s="7" t="s">
        <v>372</v>
      </c>
      <c r="B32" s="31" t="n">
        <v>1150</v>
      </c>
      <c r="C32" s="44" t="n">
        <v>96.3</v>
      </c>
      <c r="D32" s="44" t="n">
        <v>0</v>
      </c>
      <c r="E32" s="45" t="n">
        <f aca="false">B32/C32</f>
        <v>11.9418483904465</v>
      </c>
      <c r="F32" s="46" t="n">
        <f aca="false">IF(D32&gt;0,D32,C32)</f>
        <v>96.3</v>
      </c>
      <c r="G32" s="17" t="s">
        <v>373</v>
      </c>
    </row>
    <row r="33" customFormat="false" ht="15" hidden="false" customHeight="false" outlineLevel="0" collapsed="false">
      <c r="A33" s="7" t="s">
        <v>374</v>
      </c>
      <c r="B33" s="31" t="n">
        <v>1075</v>
      </c>
      <c r="C33" s="44" t="n">
        <v>116.3</v>
      </c>
      <c r="D33" s="44" t="n">
        <v>0</v>
      </c>
      <c r="E33" s="45" t="n">
        <f aca="false">B33/C33</f>
        <v>9.24333619948409</v>
      </c>
      <c r="F33" s="46" t="n">
        <f aca="false">IF(D33&gt;0,D33,C33)</f>
        <v>116.3</v>
      </c>
      <c r="G33" s="17" t="s">
        <v>375</v>
      </c>
    </row>
    <row r="34" customFormat="false" ht="15" hidden="false" customHeight="false" outlineLevel="0" collapsed="false">
      <c r="A34" s="7" t="s">
        <v>376</v>
      </c>
      <c r="B34" s="31" t="n">
        <v>1150</v>
      </c>
      <c r="C34" s="44" t="n">
        <v>79.57</v>
      </c>
      <c r="D34" s="44" t="n">
        <v>149.2</v>
      </c>
      <c r="E34" s="45" t="n">
        <f aca="false">B34/C34</f>
        <v>14.4526831720498</v>
      </c>
      <c r="F34" s="46" t="n">
        <f aca="false">IF(D34&gt;0,D34,C34)</f>
        <v>149.2</v>
      </c>
      <c r="G34" s="17" t="s">
        <v>377</v>
      </c>
    </row>
    <row r="35" customFormat="false" ht="15" hidden="false" customHeight="false" outlineLevel="0" collapsed="false">
      <c r="A35" s="3" t="s">
        <v>378</v>
      </c>
      <c r="B35" s="43" t="n">
        <f aca="false">SUM(B30:B34)</f>
        <v>3703.514</v>
      </c>
    </row>
    <row r="36" customFormat="false" ht="15" hidden="false" customHeight="false" outlineLevel="0" collapsed="false">
      <c r="A36" s="7" t="s">
        <v>379</v>
      </c>
      <c r="B36" s="42" t="n">
        <f aca="false">Capital_Structure!$B$26+Capital_Structure!$B$35-B34</f>
        <v>3022.152</v>
      </c>
      <c r="G36" s="17" t="s">
        <v>380</v>
      </c>
    </row>
    <row r="38" customFormat="false" ht="15" hidden="false" customHeight="false" outlineLevel="0" collapsed="false">
      <c r="A38" s="5" t="s">
        <v>381</v>
      </c>
      <c r="B38" s="6"/>
      <c r="C38" s="6"/>
      <c r="D38" s="6"/>
      <c r="E38" s="6"/>
      <c r="F38" s="6"/>
      <c r="G38" s="6"/>
    </row>
    <row r="39" customFormat="false" ht="15" hidden="false" customHeight="false" outlineLevel="0" collapsed="false">
      <c r="A39" s="3" t="s">
        <v>382</v>
      </c>
      <c r="B39" s="3" t="s">
        <v>383</v>
      </c>
      <c r="C39" s="3" t="s">
        <v>384</v>
      </c>
      <c r="G39" s="3" t="s">
        <v>329</v>
      </c>
    </row>
    <row r="40" customFormat="false" ht="15" hidden="false" customHeight="false" outlineLevel="0" collapsed="false">
      <c r="A40" s="7" t="s">
        <v>385</v>
      </c>
      <c r="B40" s="33" t="n">
        <v>1957612</v>
      </c>
      <c r="C40" s="44" t="n">
        <v>9.2</v>
      </c>
      <c r="G40" s="17" t="s">
        <v>386</v>
      </c>
    </row>
    <row r="41" customFormat="false" ht="15" hidden="false" customHeight="false" outlineLevel="0" collapsed="false">
      <c r="A41" s="7" t="s">
        <v>387</v>
      </c>
      <c r="B41" s="33" t="n">
        <v>55718</v>
      </c>
      <c r="C41" s="44" t="n">
        <v>24.65</v>
      </c>
      <c r="G41" s="17" t="s">
        <v>388</v>
      </c>
    </row>
    <row r="42" customFormat="false" ht="15" hidden="false" customHeight="false" outlineLevel="0" collapsed="false">
      <c r="A42" s="7" t="s">
        <v>389</v>
      </c>
      <c r="B42" s="33" t="n">
        <v>5320887</v>
      </c>
      <c r="C42" s="44" t="n">
        <v>1.01</v>
      </c>
      <c r="G42" s="17" t="s">
        <v>390</v>
      </c>
    </row>
    <row r="43" customFormat="false" ht="15" hidden="false" customHeight="false" outlineLevel="0" collapsed="false">
      <c r="A43" s="7" t="s">
        <v>391</v>
      </c>
      <c r="B43" s="33" t="n">
        <v>832699</v>
      </c>
      <c r="C43" s="44" t="n">
        <v>0</v>
      </c>
      <c r="G43" s="17" t="s">
        <v>392</v>
      </c>
    </row>
    <row r="44" customFormat="false" ht="15" hidden="false" customHeight="false" outlineLevel="0" collapsed="false">
      <c r="A44" s="7" t="s">
        <v>393</v>
      </c>
      <c r="B44" s="33" t="n">
        <v>6873666</v>
      </c>
      <c r="C44" s="44" t="n">
        <v>0</v>
      </c>
      <c r="G44" s="17" t="s">
        <v>394</v>
      </c>
    </row>
    <row r="46" customFormat="false" ht="15" hidden="false" customHeight="false" outlineLevel="0" collapsed="false">
      <c r="A46" s="5" t="s">
        <v>395</v>
      </c>
      <c r="B46" s="6"/>
      <c r="C46" s="6"/>
      <c r="D46" s="6"/>
      <c r="E46" s="6"/>
      <c r="F46" s="6"/>
      <c r="G46" s="6"/>
    </row>
    <row r="47" customFormat="false" ht="15" hidden="false" customHeight="false" outlineLevel="0" collapsed="false">
      <c r="A47" s="3" t="s">
        <v>396</v>
      </c>
      <c r="B47" s="3" t="s">
        <v>367</v>
      </c>
      <c r="C47" s="3" t="s">
        <v>397</v>
      </c>
      <c r="D47" s="3" t="s">
        <v>398</v>
      </c>
      <c r="G47" s="17" t="s">
        <v>399</v>
      </c>
    </row>
    <row r="48" customFormat="false" ht="15" hidden="false" customHeight="false" outlineLevel="0" collapsed="false">
      <c r="A48" s="47" t="str">
        <f aca="false">A30</f>
        <v>2032 4.25% converts</v>
      </c>
      <c r="B48" s="46" t="n">
        <f aca="false">F30</f>
        <v>26.99</v>
      </c>
      <c r="C48" s="45" t="n">
        <f aca="false">E30</f>
        <v>0.130196369025565</v>
      </c>
      <c r="D48" s="42" t="n">
        <f aca="false">C48*B48</f>
        <v>3.514</v>
      </c>
    </row>
    <row r="49" customFormat="false" ht="15" hidden="false" customHeight="false" outlineLevel="0" collapsed="false">
      <c r="A49" s="47" t="str">
        <f aca="false">A31</f>
        <v>2032 2.375% converts</v>
      </c>
      <c r="B49" s="46" t="n">
        <f aca="false">F31</f>
        <v>72.07</v>
      </c>
      <c r="C49" s="45" t="n">
        <f aca="false">E31</f>
        <v>4.50950464825864</v>
      </c>
      <c r="D49" s="42" t="n">
        <f aca="false">C49*B49</f>
        <v>325</v>
      </c>
    </row>
    <row r="50" customFormat="false" ht="15" hidden="false" customHeight="false" outlineLevel="0" collapsed="false">
      <c r="A50" s="47" t="str">
        <f aca="false">A32</f>
        <v>2036 2.00% converts</v>
      </c>
      <c r="B50" s="46" t="n">
        <f aca="false">F32</f>
        <v>96.3</v>
      </c>
      <c r="C50" s="45" t="n">
        <f aca="false">E32</f>
        <v>11.9418483904465</v>
      </c>
      <c r="D50" s="42" t="n">
        <f aca="false">C50*B50</f>
        <v>1150</v>
      </c>
    </row>
    <row r="51" customFormat="false" ht="15" hidden="false" customHeight="false" outlineLevel="0" collapsed="false">
      <c r="A51" s="47" t="str">
        <f aca="false">A33</f>
        <v>2036 2.25% converts</v>
      </c>
      <c r="B51" s="46" t="n">
        <f aca="false">F33</f>
        <v>116.3</v>
      </c>
      <c r="C51" s="45" t="n">
        <f aca="false">E33</f>
        <v>9.24333619948409</v>
      </c>
      <c r="D51" s="42" t="n">
        <f aca="false">C51*B51</f>
        <v>1075</v>
      </c>
    </row>
    <row r="52" customFormat="false" ht="15" hidden="false" customHeight="false" outlineLevel="0" collapsed="false">
      <c r="A52" s="47" t="str">
        <f aca="false">A34</f>
        <v>2034 1.625% converts (Jul-2026)</v>
      </c>
      <c r="B52" s="46" t="n">
        <f aca="false">F34</f>
        <v>149.2</v>
      </c>
      <c r="C52" s="45" t="n">
        <f aca="false">E34</f>
        <v>14.4526831720498</v>
      </c>
      <c r="D52" s="42" t="n">
        <f aca="false">C52*B52</f>
        <v>2156.34032926983</v>
      </c>
    </row>
    <row r="53" customFormat="false" ht="15" hidden="false" customHeight="false" outlineLevel="0" collapsed="false">
      <c r="A53" s="47" t="str">
        <f aca="false">A40</f>
        <v>2020 Plan stock options</v>
      </c>
      <c r="B53" s="46" t="n">
        <f aca="false">C40</f>
        <v>9.2</v>
      </c>
      <c r="C53" s="45" t="n">
        <f aca="false">B40/1000000</f>
        <v>1.957612</v>
      </c>
      <c r="D53" s="42" t="n">
        <f aca="false">C53*B53</f>
        <v>18.0100304</v>
      </c>
    </row>
    <row r="54" customFormat="false" ht="15" hidden="false" customHeight="false" outlineLevel="0" collapsed="false">
      <c r="A54" s="47" t="str">
        <f aca="false">A41</f>
        <v>2024 Plan stock options</v>
      </c>
      <c r="B54" s="46" t="n">
        <f aca="false">C41</f>
        <v>24.65</v>
      </c>
      <c r="C54" s="45" t="n">
        <f aca="false">B41/1000000</f>
        <v>0.055718</v>
      </c>
      <c r="D54" s="42" t="n">
        <f aca="false">C54*B54</f>
        <v>1.3734487</v>
      </c>
    </row>
    <row r="55" customFormat="false" ht="15" hidden="false" customHeight="false" outlineLevel="0" collapsed="false">
      <c r="A55" s="47" t="str">
        <f aca="false">A42</f>
        <v>AST LLC incentive options</v>
      </c>
      <c r="B55" s="46" t="n">
        <f aca="false">C42</f>
        <v>1.01</v>
      </c>
      <c r="C55" s="45" t="n">
        <f aca="false">B42/1000000</f>
        <v>5.320887</v>
      </c>
      <c r="D55" s="42" t="n">
        <f aca="false">C55*B55</f>
        <v>5.37409587</v>
      </c>
    </row>
    <row r="56" customFormat="false" ht="15" hidden="false" customHeight="false" outlineLevel="0" collapsed="false">
      <c r="A56" s="47" t="str">
        <f aca="false">A43</f>
        <v>2020 Plan RSUs</v>
      </c>
      <c r="B56" s="46" t="n">
        <f aca="false">C43</f>
        <v>0</v>
      </c>
      <c r="C56" s="45" t="n">
        <f aca="false">B43/1000000</f>
        <v>0.832699</v>
      </c>
      <c r="D56" s="42" t="n">
        <f aca="false">C56*B56</f>
        <v>0</v>
      </c>
    </row>
    <row r="57" customFormat="false" ht="15" hidden="false" customHeight="false" outlineLevel="0" collapsed="false">
      <c r="A57" s="47" t="str">
        <f aca="false">A44</f>
        <v>2024 Plan RSUs</v>
      </c>
      <c r="B57" s="46" t="n">
        <f aca="false">C44</f>
        <v>0</v>
      </c>
      <c r="C57" s="45" t="n">
        <f aca="false">B44/1000000</f>
        <v>6.873666</v>
      </c>
      <c r="D57" s="42" t="n">
        <f aca="false">C57*B57</f>
        <v>0</v>
      </c>
    </row>
    <row r="59" customFormat="false" ht="15" hidden="false" customHeight="false" outlineLevel="0" collapsed="false">
      <c r="A59" s="5" t="s">
        <v>400</v>
      </c>
      <c r="B59" s="6"/>
      <c r="C59" s="6"/>
      <c r="D59" s="6"/>
      <c r="E59" s="6"/>
      <c r="F59" s="6"/>
      <c r="G59" s="6"/>
    </row>
    <row r="60" customFormat="false" ht="15" hidden="false" customHeight="false" outlineLevel="0" collapsed="false">
      <c r="A60" s="7" t="s">
        <v>401</v>
      </c>
      <c r="B60" s="42" t="n">
        <f aca="false">Market_Data!$J$7*Capital_Structure!$B$9</f>
        <v>24291.83497548</v>
      </c>
    </row>
    <row r="61" customFormat="false" ht="15" hidden="false" customHeight="false" outlineLevel="0" collapsed="false">
      <c r="A61" s="7" t="s">
        <v>402</v>
      </c>
      <c r="B61" s="42" t="n">
        <f aca="false">Capital_Structure!$B$60+Capital_Structure!$B$26+Capital_Structure!$B$35-Capital_Structure!$D$20</f>
        <v>24708.78397548</v>
      </c>
    </row>
    <row r="62" customFormat="false" ht="15" hidden="false" customHeight="false" outlineLevel="0" collapsed="false">
      <c r="A62" s="7" t="s">
        <v>403</v>
      </c>
      <c r="B62" s="41" t="n">
        <f aca="false">(Capital_Structure!$B$26+Capital_Structure!$B$35)/(Capital_Structure!$B$26+Capital_Structure!$B$35+Capital_Structure!$B$60)</f>
        <v>0.146576514512674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18" min="4" style="0" width="9"/>
  </cols>
  <sheetData>
    <row r="1" customFormat="false" ht="17.35" hidden="false" customHeight="false" outlineLevel="0" collapsed="false">
      <c r="A1" s="1" t="s">
        <v>404</v>
      </c>
    </row>
    <row r="2" customFormat="false" ht="15" hidden="false" customHeight="false" outlineLevel="0" collapsed="false">
      <c r="A2" s="2" t="s">
        <v>405</v>
      </c>
    </row>
    <row r="5" customFormat="false" ht="15" hidden="false" customHeight="false" outlineLevel="0" collapsed="false">
      <c r="A5" s="7" t="s">
        <v>406</v>
      </c>
      <c r="C5" s="23" t="n">
        <f aca="false">Inputs!$D$7</f>
        <v>0.0484</v>
      </c>
    </row>
    <row r="6" customFormat="false" ht="15" hidden="false" customHeight="false" outlineLevel="0" collapsed="false">
      <c r="A6" s="7" t="s">
        <v>407</v>
      </c>
      <c r="C6" s="23" t="n">
        <f aca="false">Inputs!$D$8</f>
        <v>0.0442</v>
      </c>
    </row>
    <row r="7" customFormat="false" ht="15" hidden="false" customHeight="false" outlineLevel="0" collapsed="false">
      <c r="A7" s="7" t="s">
        <v>408</v>
      </c>
      <c r="C7" s="22" t="n">
        <f aca="false">Market_Data!$J$13</f>
        <v>1.2804556192367</v>
      </c>
    </row>
    <row r="8" customFormat="false" ht="15" hidden="false" customHeight="false" outlineLevel="0" collapsed="false">
      <c r="A8" s="7" t="s">
        <v>409</v>
      </c>
      <c r="C8" s="48" t="n">
        <f aca="false">C5+C7*C6</f>
        <v>0.104996138370262</v>
      </c>
    </row>
    <row r="9" customFormat="false" ht="15" hidden="false" customHeight="false" outlineLevel="0" collapsed="false">
      <c r="A9" s="7" t="s">
        <v>78</v>
      </c>
      <c r="C9" s="14" t="n">
        <f aca="false">Inputs!$D$10</f>
        <v>0.15</v>
      </c>
    </row>
    <row r="10" customFormat="false" ht="15" hidden="false" customHeight="false" outlineLevel="0" collapsed="false">
      <c r="A10" s="7" t="s">
        <v>410</v>
      </c>
      <c r="C10" s="23" t="n">
        <f aca="false">Inputs!$D$11*(1-Inputs!$D$12)</f>
        <v>0.095</v>
      </c>
    </row>
    <row r="11" customFormat="false" ht="15" hidden="false" customHeight="false" outlineLevel="0" collapsed="false">
      <c r="A11" s="7" t="s">
        <v>411</v>
      </c>
      <c r="C11" s="23" t="n">
        <f aca="false">(1-C9)*C8+C9*C10+Inputs!$D$19</f>
        <v>0.103496717614723</v>
      </c>
    </row>
    <row r="12" customFormat="false" ht="15" hidden="false" customHeight="false" outlineLevel="0" collapsed="false">
      <c r="A12" s="7" t="s">
        <v>87</v>
      </c>
      <c r="C12" s="22" t="n">
        <f aca="false">Inputs!$D$13</f>
        <v>1</v>
      </c>
    </row>
    <row r="13" customFormat="false" ht="15" hidden="false" customHeight="false" outlineLevel="0" collapsed="false">
      <c r="A13" s="7" t="s">
        <v>412</v>
      </c>
      <c r="C13" s="48" t="n">
        <f aca="false">C5+C12*C6</f>
        <v>0.0926</v>
      </c>
    </row>
    <row r="14" customFormat="false" ht="15" hidden="false" customHeight="false" outlineLevel="0" collapsed="false">
      <c r="A14" s="7" t="s">
        <v>90</v>
      </c>
      <c r="C14" s="14" t="n">
        <f aca="false">Inputs!$D$14</f>
        <v>0.25</v>
      </c>
    </row>
    <row r="15" customFormat="false" ht="15" hidden="false" customHeight="false" outlineLevel="0" collapsed="false">
      <c r="A15" s="7" t="s">
        <v>413</v>
      </c>
      <c r="C15" s="23" t="n">
        <f aca="false">Inputs!$D$15*(1-Inputs!$D$16)</f>
        <v>0.0525</v>
      </c>
    </row>
    <row r="16" customFormat="false" ht="15" hidden="false" customHeight="false" outlineLevel="0" collapsed="false">
      <c r="A16" s="7" t="s">
        <v>414</v>
      </c>
      <c r="C16" s="23" t="n">
        <f aca="false">(1-C14)*C13+C14*C15+Inputs!$D$19</f>
        <v>0.082575</v>
      </c>
    </row>
    <row r="19" customFormat="false" ht="15" hidden="false" customHeight="false" outlineLevel="0" collapsed="false">
      <c r="A19" s="3" t="s">
        <v>415</v>
      </c>
      <c r="D19" s="3" t="s">
        <v>416</v>
      </c>
      <c r="E19" s="3" t="s">
        <v>417</v>
      </c>
      <c r="F19" s="3" t="s">
        <v>418</v>
      </c>
      <c r="G19" s="3" t="s">
        <v>419</v>
      </c>
      <c r="H19" s="3" t="s">
        <v>420</v>
      </c>
      <c r="I19" s="3" t="s">
        <v>421</v>
      </c>
      <c r="J19" s="3" t="s">
        <v>422</v>
      </c>
      <c r="K19" s="3" t="s">
        <v>423</v>
      </c>
      <c r="L19" s="3" t="s">
        <v>424</v>
      </c>
      <c r="M19" s="3" t="s">
        <v>425</v>
      </c>
      <c r="N19" s="3" t="s">
        <v>426</v>
      </c>
      <c r="O19" s="3" t="s">
        <v>427</v>
      </c>
      <c r="P19" s="3" t="s">
        <v>428</v>
      </c>
      <c r="Q19" s="3" t="s">
        <v>429</v>
      </c>
      <c r="R19" s="3" t="s">
        <v>430</v>
      </c>
    </row>
    <row r="20" customFormat="false" ht="15" hidden="false" customHeight="false" outlineLevel="0" collapsed="false">
      <c r="A20" s="3" t="s">
        <v>431</v>
      </c>
      <c r="D20" s="49" t="n">
        <v>2026</v>
      </c>
      <c r="E20" s="49" t="n">
        <v>2027</v>
      </c>
      <c r="F20" s="49" t="n">
        <v>2028</v>
      </c>
      <c r="G20" s="49" t="n">
        <v>2029</v>
      </c>
      <c r="H20" s="49" t="n">
        <v>2030</v>
      </c>
      <c r="I20" s="49" t="n">
        <v>2031</v>
      </c>
      <c r="J20" s="49" t="n">
        <v>2032</v>
      </c>
      <c r="K20" s="49" t="n">
        <v>2033</v>
      </c>
      <c r="L20" s="49" t="n">
        <v>2034</v>
      </c>
      <c r="M20" s="49" t="n">
        <v>2035</v>
      </c>
      <c r="N20" s="49" t="n">
        <v>2036</v>
      </c>
      <c r="O20" s="49" t="n">
        <v>2037</v>
      </c>
      <c r="P20" s="49" t="n">
        <v>2038</v>
      </c>
      <c r="Q20" s="49" t="n">
        <v>2039</v>
      </c>
      <c r="R20" s="49" t="n">
        <v>2040</v>
      </c>
    </row>
    <row r="21" customFormat="false" ht="15" hidden="false" customHeight="false" outlineLevel="0" collapsed="false">
      <c r="A21" s="3" t="s">
        <v>432</v>
      </c>
      <c r="D21" s="48" t="n">
        <f aca="false">IF(D20&lt;Inputs!$D$17,$C$11,IF(D20&gt;=Inputs!$D$18,$C$16,$C$11+($C$16-$C$11)*(D20-Inputs!$D$17+1)/(Inputs!$D$18-Inputs!$D$17+1)))</f>
        <v>0.103496717614723</v>
      </c>
      <c r="E21" s="48" t="n">
        <f aca="false">IF(E20&lt;Inputs!$D$17,$C$11,IF(E20&gt;=Inputs!$D$18,$C$16,$C$11+($C$16-$C$11)*(E20-Inputs!$D$17+1)/(Inputs!$D$18-Inputs!$D$17+1)))</f>
        <v>0.103496717614723</v>
      </c>
      <c r="F21" s="48" t="n">
        <f aca="false">IF(F20&lt;Inputs!$D$17,$C$11,IF(F20&gt;=Inputs!$D$18,$C$16,$C$11+($C$16-$C$11)*(F20-Inputs!$D$17+1)/(Inputs!$D$18-Inputs!$D$17+1)))</f>
        <v>0.103496717614723</v>
      </c>
      <c r="G21" s="48" t="n">
        <f aca="false">IF(G20&lt;Inputs!$D$17,$C$11,IF(G20&gt;=Inputs!$D$18,$C$16,$C$11+($C$16-$C$11)*(G20-Inputs!$D$17+1)/(Inputs!$D$18-Inputs!$D$17+1)))</f>
        <v>0.103496717614723</v>
      </c>
      <c r="H21" s="48" t="n">
        <f aca="false">IF(H20&lt;Inputs!$D$17,$C$11,IF(H20&gt;=Inputs!$D$18,$C$16,$C$11+($C$16-$C$11)*(H20-Inputs!$D$17+1)/(Inputs!$D$18-Inputs!$D$17+1)))</f>
        <v>0.103496717614723</v>
      </c>
      <c r="I21" s="48" t="n">
        <f aca="false">IF(I20&lt;Inputs!$D$17,$C$11,IF(I20&gt;=Inputs!$D$18,$C$16,$C$11+($C$16-$C$11)*(I20-Inputs!$D$17+1)/(Inputs!$D$18-Inputs!$D$17+1)))</f>
        <v>0.0993123740917783</v>
      </c>
      <c r="J21" s="48" t="n">
        <f aca="false">IF(J20&lt;Inputs!$D$17,$C$11,IF(J20&gt;=Inputs!$D$18,$C$16,$C$11+($C$16-$C$11)*(J20-Inputs!$D$17+1)/(Inputs!$D$18-Inputs!$D$17+1)))</f>
        <v>0.0951280305688338</v>
      </c>
      <c r="K21" s="48" t="n">
        <f aca="false">IF(K20&lt;Inputs!$D$17,$C$11,IF(K20&gt;=Inputs!$D$18,$C$16,$C$11+($C$16-$C$11)*(K20-Inputs!$D$17+1)/(Inputs!$D$18-Inputs!$D$17+1)))</f>
        <v>0.0909436870458892</v>
      </c>
      <c r="L21" s="48" t="n">
        <f aca="false">IF(L20&lt;Inputs!$D$17,$C$11,IF(L20&gt;=Inputs!$D$18,$C$16,$C$11+($C$16-$C$11)*(L20-Inputs!$D$17+1)/(Inputs!$D$18-Inputs!$D$17+1)))</f>
        <v>0.0867593435229446</v>
      </c>
      <c r="M21" s="48" t="n">
        <f aca="false">IF(M20&lt;Inputs!$D$17,$C$11,IF(M20&gt;=Inputs!$D$18,$C$16,$C$11+($C$16-$C$11)*(M20-Inputs!$D$17+1)/(Inputs!$D$18-Inputs!$D$17+1)))</f>
        <v>0.082575</v>
      </c>
      <c r="N21" s="48" t="n">
        <f aca="false">IF(N20&lt;Inputs!$D$17,$C$11,IF(N20&gt;=Inputs!$D$18,$C$16,$C$11+($C$16-$C$11)*(N20-Inputs!$D$17+1)/(Inputs!$D$18-Inputs!$D$17+1)))</f>
        <v>0.082575</v>
      </c>
      <c r="O21" s="48" t="n">
        <f aca="false">IF(O20&lt;Inputs!$D$17,$C$11,IF(O20&gt;=Inputs!$D$18,$C$16,$C$11+($C$16-$C$11)*(O20-Inputs!$D$17+1)/(Inputs!$D$18-Inputs!$D$17+1)))</f>
        <v>0.082575</v>
      </c>
      <c r="P21" s="48" t="n">
        <f aca="false">IF(P20&lt;Inputs!$D$17,$C$11,IF(P20&gt;=Inputs!$D$18,$C$16,$C$11+($C$16-$C$11)*(P20-Inputs!$D$17+1)/(Inputs!$D$18-Inputs!$D$17+1)))</f>
        <v>0.082575</v>
      </c>
      <c r="Q21" s="48" t="n">
        <f aca="false">IF(Q20&lt;Inputs!$D$17,$C$11,IF(Q20&gt;=Inputs!$D$18,$C$16,$C$11+($C$16-$C$11)*(Q20-Inputs!$D$17+1)/(Inputs!$D$18-Inputs!$D$17+1)))</f>
        <v>0.082575</v>
      </c>
      <c r="R21" s="48" t="n">
        <f aca="false">IF(R20&lt;Inputs!$D$17,$C$11,IF(R20&gt;=Inputs!$D$18,$C$16,$C$11+($C$16-$C$11)*(R20-Inputs!$D$17+1)/(Inputs!$D$18-Inputs!$D$17+1)))</f>
        <v>0.082575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1"/>
    <col collapsed="false" customWidth="true" hidden="false" outlineLevel="0" max="8" min="8" style="0" width="3"/>
    <col collapsed="false" customWidth="true" hidden="false" outlineLevel="0" max="9" min="9" style="0" width="44"/>
    <col collapsed="false" customWidth="true" hidden="false" outlineLevel="0" max="10" min="10" style="0" width="13"/>
    <col collapsed="false" customWidth="true" hidden="false" outlineLevel="0" max="11" min="11" style="0" width="60"/>
  </cols>
  <sheetData>
    <row r="1" customFormat="false" ht="17.35" hidden="false" customHeight="false" outlineLevel="0" collapsed="false">
      <c r="A1" s="1" t="s">
        <v>433</v>
      </c>
    </row>
    <row r="2" customFormat="false" ht="15" hidden="false" customHeight="false" outlineLevel="0" collapsed="false">
      <c r="A2" s="2" t="s">
        <v>434</v>
      </c>
    </row>
    <row r="5" customFormat="false" ht="15" hidden="false" customHeight="false" outlineLevel="0" collapsed="false">
      <c r="A5" s="18" t="s">
        <v>435</v>
      </c>
      <c r="B5" s="18" t="s">
        <v>436</v>
      </c>
      <c r="C5" s="18" t="s">
        <v>437</v>
      </c>
      <c r="D5" s="18" t="s">
        <v>438</v>
      </c>
      <c r="E5" s="18" t="s">
        <v>439</v>
      </c>
      <c r="F5" s="18" t="s">
        <v>440</v>
      </c>
      <c r="G5" s="18" t="s">
        <v>441</v>
      </c>
      <c r="I5" s="18" t="s">
        <v>442</v>
      </c>
      <c r="J5" s="18" t="s">
        <v>59</v>
      </c>
      <c r="K5" s="18" t="s">
        <v>443</v>
      </c>
    </row>
    <row r="6" customFormat="false" ht="15" hidden="false" customHeight="false" outlineLevel="0" collapsed="false">
      <c r="A6" s="7" t="s">
        <v>444</v>
      </c>
      <c r="B6" s="44" t="n">
        <v>29.83</v>
      </c>
      <c r="C6" s="44" t="n">
        <v>562.01</v>
      </c>
      <c r="F6" s="46" t="n">
        <f aca="false">B6</f>
        <v>29.83</v>
      </c>
      <c r="G6" s="41" t="n">
        <f aca="false">B6/F6-1</f>
        <v>0</v>
      </c>
    </row>
    <row r="7" customFormat="false" ht="15" hidden="false" customHeight="false" outlineLevel="0" collapsed="false">
      <c r="A7" s="7" t="s">
        <v>445</v>
      </c>
      <c r="B7" s="44" t="n">
        <v>26.5</v>
      </c>
      <c r="C7" s="44" t="n">
        <v>568.25</v>
      </c>
      <c r="D7" s="41" t="n">
        <f aca="false">B7/B6-1</f>
        <v>-0.111632584646329</v>
      </c>
      <c r="E7" s="41" t="n">
        <f aca="false">C7/C6-1</f>
        <v>0.0111030052846035</v>
      </c>
      <c r="F7" s="46" t="n">
        <f aca="false">MAX(F6,B7)</f>
        <v>29.83</v>
      </c>
      <c r="G7" s="41" t="n">
        <f aca="false">B7/F7-1</f>
        <v>-0.111632584646329</v>
      </c>
      <c r="I7" s="7" t="s">
        <v>446</v>
      </c>
      <c r="J7" s="46" t="n">
        <f aca="false">B110</f>
        <v>62.42</v>
      </c>
    </row>
    <row r="8" customFormat="false" ht="15" hidden="false" customHeight="false" outlineLevel="0" collapsed="false">
      <c r="A8" s="7" t="s">
        <v>447</v>
      </c>
      <c r="B8" s="44" t="n">
        <v>25.32</v>
      </c>
      <c r="C8" s="44" t="n">
        <v>571.47</v>
      </c>
      <c r="D8" s="41" t="n">
        <f aca="false">B8/B7-1</f>
        <v>-0.0445283018867925</v>
      </c>
      <c r="E8" s="41" t="n">
        <f aca="false">C8/C7-1</f>
        <v>0.00566652001759804</v>
      </c>
      <c r="F8" s="46" t="n">
        <f aca="false">MAX(F7,B8)</f>
        <v>29.83</v>
      </c>
      <c r="G8" s="41" t="n">
        <f aca="false">B8/F8-1</f>
        <v>-0.151190077103587</v>
      </c>
      <c r="I8" s="7" t="s">
        <v>448</v>
      </c>
      <c r="J8" s="50" t="n">
        <f aca="false">COUNT(D7:D109)</f>
        <v>103</v>
      </c>
    </row>
    <row r="9" customFormat="false" ht="15" hidden="false" customHeight="false" outlineLevel="0" collapsed="false">
      <c r="A9" s="7" t="s">
        <v>449</v>
      </c>
      <c r="B9" s="44" t="n">
        <v>26.11</v>
      </c>
      <c r="C9" s="44" t="n">
        <v>572.98</v>
      </c>
      <c r="D9" s="41" t="n">
        <f aca="false">B9/B8-1</f>
        <v>0.0312006319115323</v>
      </c>
      <c r="E9" s="41" t="n">
        <f aca="false">C9/C8-1</f>
        <v>0.00264230843263857</v>
      </c>
      <c r="F9" s="46" t="n">
        <f aca="false">MAX(F8,B9)</f>
        <v>29.83</v>
      </c>
      <c r="G9" s="41" t="n">
        <f aca="false">B9/F9-1</f>
        <v>-0.12470667113644</v>
      </c>
      <c r="I9" s="7" t="s">
        <v>450</v>
      </c>
      <c r="J9" s="45" t="n">
        <f aca="false">SLOPE(D7:D109,E7:E109)</f>
        <v>1.41859047647269</v>
      </c>
      <c r="K9" s="17" t="s">
        <v>451</v>
      </c>
    </row>
    <row r="10" customFormat="false" ht="15" hidden="false" customHeight="false" outlineLevel="0" collapsed="false">
      <c r="A10" s="7" t="s">
        <v>452</v>
      </c>
      <c r="B10" s="44" t="n">
        <v>24.18</v>
      </c>
      <c r="C10" s="44" t="n">
        <v>579.58</v>
      </c>
      <c r="D10" s="41" t="n">
        <f aca="false">B10/B9-1</f>
        <v>-0.0739180390654921</v>
      </c>
      <c r="E10" s="41" t="n">
        <f aca="false">C10/C9-1</f>
        <v>0.0115187266571259</v>
      </c>
      <c r="F10" s="46" t="n">
        <f aca="false">MAX(F9,B10)</f>
        <v>29.83</v>
      </c>
      <c r="G10" s="41" t="n">
        <f aca="false">B10/F10-1</f>
        <v>-0.189406637613141</v>
      </c>
      <c r="I10" s="7" t="s">
        <v>453</v>
      </c>
      <c r="J10" s="45" t="n">
        <f aca="false">STEYX(D7:D109,E7:E109)/(STDEV(E7:E109)*SQRT(COUNT(E7:E109)-1))</f>
        <v>0.602707661443031</v>
      </c>
    </row>
    <row r="11" customFormat="false" ht="15" hidden="false" customHeight="false" outlineLevel="0" collapsed="false">
      <c r="A11" s="7" t="s">
        <v>454</v>
      </c>
      <c r="B11" s="44" t="n">
        <v>28.14</v>
      </c>
      <c r="C11" s="44" t="n">
        <v>584.59</v>
      </c>
      <c r="D11" s="41" t="n">
        <f aca="false">B11/B10-1</f>
        <v>0.163771712158809</v>
      </c>
      <c r="E11" s="41" t="n">
        <f aca="false">C11/C10-1</f>
        <v>0.00864419062079436</v>
      </c>
      <c r="F11" s="46" t="n">
        <f aca="false">MAX(F10,B11)</f>
        <v>29.83</v>
      </c>
      <c r="G11" s="41" t="n">
        <f aca="false">B11/F11-1</f>
        <v>-0.0566543747904793</v>
      </c>
      <c r="I11" s="7" t="s">
        <v>455</v>
      </c>
      <c r="J11" s="45" t="n">
        <f aca="false">J9/J10</f>
        <v>2.35369577528886</v>
      </c>
    </row>
    <row r="12" customFormat="false" ht="15" hidden="false" customHeight="false" outlineLevel="0" collapsed="false">
      <c r="A12" s="7" t="s">
        <v>456</v>
      </c>
      <c r="B12" s="44" t="n">
        <v>25.62</v>
      </c>
      <c r="C12" s="44" t="n">
        <v>579.04</v>
      </c>
      <c r="D12" s="41" t="n">
        <f aca="false">B12/B11-1</f>
        <v>-0.0895522388059702</v>
      </c>
      <c r="E12" s="41" t="n">
        <f aca="false">C12/C11-1</f>
        <v>-0.00949383328486642</v>
      </c>
      <c r="F12" s="46" t="n">
        <f aca="false">MAX(F11,B12)</f>
        <v>29.83</v>
      </c>
      <c r="G12" s="41" t="n">
        <f aca="false">B12/F12-1</f>
        <v>-0.14113308749581</v>
      </c>
      <c r="I12" s="7" t="s">
        <v>457</v>
      </c>
      <c r="J12" s="41" t="n">
        <f aca="false">RSQ(D7:D109,E7:E109)</f>
        <v>0.051998215174295</v>
      </c>
    </row>
    <row r="13" customFormat="false" ht="15" hidden="false" customHeight="false" outlineLevel="0" collapsed="false">
      <c r="A13" s="7" t="s">
        <v>458</v>
      </c>
      <c r="B13" s="44" t="n">
        <v>23.85</v>
      </c>
      <c r="C13" s="44" t="n">
        <v>571.04</v>
      </c>
      <c r="D13" s="41" t="n">
        <f aca="false">B13/B12-1</f>
        <v>-0.0690866510538641</v>
      </c>
      <c r="E13" s="41" t="n">
        <f aca="false">C13/C12-1</f>
        <v>-0.0138159712627798</v>
      </c>
      <c r="F13" s="46" t="n">
        <f aca="false">MAX(F12,B13)</f>
        <v>29.83</v>
      </c>
      <c r="G13" s="41" t="n">
        <f aca="false">B13/F13-1</f>
        <v>-0.200469326181696</v>
      </c>
      <c r="I13" s="7" t="s">
        <v>459</v>
      </c>
      <c r="J13" s="45" t="n">
        <f aca="false">Inputs!$D$9*J9+(1-Inputs!$D$9)</f>
        <v>1.2804556192367</v>
      </c>
      <c r="K13" s="17" t="s">
        <v>460</v>
      </c>
    </row>
    <row r="14" customFormat="false" ht="15" hidden="false" customHeight="false" outlineLevel="0" collapsed="false">
      <c r="A14" s="7" t="s">
        <v>461</v>
      </c>
      <c r="B14" s="44" t="n">
        <v>21.99</v>
      </c>
      <c r="C14" s="44" t="n">
        <v>598.19</v>
      </c>
      <c r="D14" s="41" t="n">
        <f aca="false">B14/B13-1</f>
        <v>-0.0779874213836479</v>
      </c>
      <c r="E14" s="41" t="n">
        <f aca="false">C14/C13-1</f>
        <v>0.0475448304847297</v>
      </c>
      <c r="F14" s="46" t="n">
        <f aca="false">MAX(F13,B14)</f>
        <v>29.83</v>
      </c>
      <c r="G14" s="41" t="n">
        <f aca="false">B14/F14-1</f>
        <v>-0.262822661749916</v>
      </c>
      <c r="I14" s="7" t="s">
        <v>462</v>
      </c>
      <c r="J14" s="41" t="n">
        <f aca="false">STDEV(D7:D109)*SQRT(52)</f>
        <v>0.937518987933979</v>
      </c>
    </row>
    <row r="15" customFormat="false" ht="15" hidden="false" customHeight="false" outlineLevel="0" collapsed="false">
      <c r="A15" s="7" t="s">
        <v>463</v>
      </c>
      <c r="B15" s="44" t="n">
        <v>24.23</v>
      </c>
      <c r="C15" s="44" t="n">
        <v>585.75</v>
      </c>
      <c r="D15" s="41" t="n">
        <f aca="false">B15/B14-1</f>
        <v>0.101864483856298</v>
      </c>
      <c r="E15" s="41" t="n">
        <f aca="false">C15/C14-1</f>
        <v>-0.0207960681388857</v>
      </c>
      <c r="F15" s="46" t="n">
        <f aca="false">MAX(F14,B15)</f>
        <v>29.83</v>
      </c>
      <c r="G15" s="41" t="n">
        <f aca="false">B15/F15-1</f>
        <v>-0.187730472678512</v>
      </c>
      <c r="I15" s="7" t="s">
        <v>464</v>
      </c>
      <c r="J15" s="41" t="n">
        <f aca="false">STDEV(E7:E109)*SQRT(52)</f>
        <v>0.150701387514485</v>
      </c>
    </row>
    <row r="16" customFormat="false" ht="15" hidden="false" customHeight="false" outlineLevel="0" collapsed="false">
      <c r="A16" s="7" t="s">
        <v>465</v>
      </c>
      <c r="B16" s="44" t="n">
        <v>24.1</v>
      </c>
      <c r="C16" s="44" t="n">
        <v>595.51</v>
      </c>
      <c r="D16" s="41" t="n">
        <f aca="false">B16/B15-1</f>
        <v>-0.00536524969046637</v>
      </c>
      <c r="E16" s="41" t="n">
        <f aca="false">C16/C15-1</f>
        <v>0.0166623986342296</v>
      </c>
      <c r="F16" s="46" t="n">
        <f aca="false">MAX(F15,B16)</f>
        <v>29.83</v>
      </c>
      <c r="G16" s="41" t="n">
        <f aca="false">B16/F16-1</f>
        <v>-0.192088501508548</v>
      </c>
      <c r="I16" s="7" t="s">
        <v>466</v>
      </c>
      <c r="J16" s="41" t="n">
        <f aca="false">J14*SQRT(1-J12)</f>
        <v>0.912818955298614</v>
      </c>
    </row>
    <row r="17" customFormat="false" ht="15" hidden="false" customHeight="false" outlineLevel="0" collapsed="false">
      <c r="A17" s="7" t="s">
        <v>467</v>
      </c>
      <c r="B17" s="44" t="n">
        <v>23.81</v>
      </c>
      <c r="C17" s="44" t="n">
        <v>602.55</v>
      </c>
      <c r="D17" s="41" t="n">
        <f aca="false">B17/B16-1</f>
        <v>-0.012033195020747</v>
      </c>
      <c r="E17" s="41" t="n">
        <f aca="false">C17/C16-1</f>
        <v>0.0118217998018504</v>
      </c>
      <c r="F17" s="46" t="n">
        <f aca="false">MAX(F16,B17)</f>
        <v>29.83</v>
      </c>
      <c r="G17" s="41" t="n">
        <f aca="false">B17/F17-1</f>
        <v>-0.2018102581294</v>
      </c>
      <c r="I17" s="7" t="s">
        <v>468</v>
      </c>
      <c r="J17" s="41" t="n">
        <f aca="false">MIN(G6:G110)</f>
        <v>-0.514554720566641</v>
      </c>
    </row>
    <row r="18" customFormat="false" ht="15" hidden="false" customHeight="false" outlineLevel="0" collapsed="false">
      <c r="A18" s="7" t="s">
        <v>469</v>
      </c>
      <c r="B18" s="44" t="n">
        <v>25.32</v>
      </c>
      <c r="C18" s="44" t="n">
        <v>607.81</v>
      </c>
      <c r="D18" s="41" t="n">
        <f aca="false">B18/B17-1</f>
        <v>0.0634187316253676</v>
      </c>
      <c r="E18" s="41" t="n">
        <f aca="false">C18/C17-1</f>
        <v>0.00872956601111929</v>
      </c>
      <c r="F18" s="46" t="n">
        <f aca="false">MAX(F17,B18)</f>
        <v>29.83</v>
      </c>
      <c r="G18" s="41" t="n">
        <f aca="false">B18/F18-1</f>
        <v>-0.151190077103587</v>
      </c>
      <c r="I18" s="7" t="s">
        <v>470</v>
      </c>
      <c r="J18" s="41" t="n">
        <f aca="false">PERCENTILE(D7:D109,0.05)</f>
        <v>-0.156907706800529</v>
      </c>
    </row>
    <row r="19" customFormat="false" ht="15" hidden="false" customHeight="false" outlineLevel="0" collapsed="false">
      <c r="A19" s="7" t="s">
        <v>471</v>
      </c>
      <c r="B19" s="44" t="n">
        <v>23.48</v>
      </c>
      <c r="C19" s="44" t="n">
        <v>604.21</v>
      </c>
      <c r="D19" s="41" t="n">
        <f aca="false">B19/B18-1</f>
        <v>-0.0726698262243286</v>
      </c>
      <c r="E19" s="41" t="n">
        <f aca="false">C19/C18-1</f>
        <v>-0.00592290353893477</v>
      </c>
      <c r="F19" s="46" t="n">
        <f aca="false">MAX(F18,B19)</f>
        <v>29.83</v>
      </c>
      <c r="G19" s="41" t="n">
        <f aca="false">B19/F19-1</f>
        <v>-0.212872946697955</v>
      </c>
      <c r="I19" s="7" t="s">
        <v>472</v>
      </c>
      <c r="J19" s="41" t="n">
        <f aca="false">AVERAGEIF(D7:D109,"&lt;="&amp;J18)</f>
        <v>-0.177022743711296</v>
      </c>
    </row>
    <row r="20" customFormat="false" ht="15" hidden="false" customHeight="false" outlineLevel="0" collapsed="false">
      <c r="A20" s="7" t="s">
        <v>473</v>
      </c>
      <c r="B20" s="44" t="n">
        <v>22.88</v>
      </c>
      <c r="C20" s="44" t="n">
        <v>591.15</v>
      </c>
      <c r="D20" s="41" t="n">
        <f aca="false">B20/B19-1</f>
        <v>-0.0255536626916525</v>
      </c>
      <c r="E20" s="41" t="n">
        <f aca="false">C20/C19-1</f>
        <v>-0.0216150014067957</v>
      </c>
      <c r="F20" s="46" t="n">
        <f aca="false">MAX(F19,B20)</f>
        <v>29.83</v>
      </c>
      <c r="G20" s="41" t="n">
        <f aca="false">B20/F20-1</f>
        <v>-0.23298692591351</v>
      </c>
      <c r="I20" s="7" t="s">
        <v>474</v>
      </c>
      <c r="J20" s="41" t="n">
        <f aca="false">AVERAGE(D7:D109)-1.645*STDEV(D7:D109)</f>
        <v>-0.198822005679155</v>
      </c>
    </row>
    <row r="21" customFormat="false" ht="15" hidden="false" customHeight="false" outlineLevel="0" collapsed="false">
      <c r="A21" s="7" t="s">
        <v>475</v>
      </c>
      <c r="B21" s="44" t="n">
        <v>22.92</v>
      </c>
      <c r="C21" s="44" t="n">
        <v>595.01</v>
      </c>
      <c r="D21" s="41" t="n">
        <f aca="false">B21/B20-1</f>
        <v>0.00174825174825188</v>
      </c>
      <c r="E21" s="41" t="n">
        <f aca="false">C21/C20-1</f>
        <v>0.00652964560602221</v>
      </c>
      <c r="F21" s="46" t="n">
        <f aca="false">MAX(F20,B21)</f>
        <v>29.83</v>
      </c>
      <c r="G21" s="41" t="n">
        <f aca="false">B21/F21-1</f>
        <v>-0.231645993965806</v>
      </c>
      <c r="I21" s="7" t="s">
        <v>476</v>
      </c>
      <c r="J21" s="41" t="n">
        <f aca="false">SQRT(SUMPRODUCT((D7:D109&lt;0)*(D7:D109)^2)/COUNT(D7:D109))*SQRT(52)</f>
        <v>0.504964825590634</v>
      </c>
    </row>
    <row r="22" customFormat="false" ht="15" hidden="false" customHeight="false" outlineLevel="0" collapsed="false">
      <c r="A22" s="7" t="s">
        <v>477</v>
      </c>
      <c r="B22" s="44" t="n">
        <v>23.97</v>
      </c>
      <c r="C22" s="44" t="n">
        <v>591.95</v>
      </c>
      <c r="D22" s="41" t="n">
        <f aca="false">B22/B21-1</f>
        <v>0.0458115183246073</v>
      </c>
      <c r="E22" s="41" t="n">
        <f aca="false">C22/C21-1</f>
        <v>-0.0051427707097359</v>
      </c>
      <c r="F22" s="46" t="n">
        <f aca="false">MAX(F21,B22)</f>
        <v>29.83</v>
      </c>
      <c r="G22" s="41" t="n">
        <f aca="false">B22/F22-1</f>
        <v>-0.196446530338585</v>
      </c>
      <c r="I22" s="7" t="s">
        <v>478</v>
      </c>
      <c r="J22" s="46" t="n">
        <f aca="false">MAX(B6:B110)</f>
        <v>115.77</v>
      </c>
    </row>
    <row r="23" customFormat="false" ht="15" hidden="false" customHeight="false" outlineLevel="0" collapsed="false">
      <c r="A23" s="7" t="s">
        <v>479</v>
      </c>
      <c r="B23" s="44" t="n">
        <v>22.37</v>
      </c>
      <c r="C23" s="44" t="n">
        <v>580.49</v>
      </c>
      <c r="D23" s="41" t="n">
        <f aca="false">B23/B22-1</f>
        <v>-0.0667501042970379</v>
      </c>
      <c r="E23" s="41" t="n">
        <f aca="false">C23/C22-1</f>
        <v>-0.019359743221556</v>
      </c>
      <c r="F23" s="46" t="n">
        <f aca="false">MAX(F22,B23)</f>
        <v>29.83</v>
      </c>
      <c r="G23" s="41" t="n">
        <f aca="false">B23/F23-1</f>
        <v>-0.250083808246731</v>
      </c>
      <c r="I23" s="7" t="s">
        <v>480</v>
      </c>
      <c r="J23" s="46" t="n">
        <f aca="false">MIN(B6:B110)</f>
        <v>20.07</v>
      </c>
    </row>
    <row r="24" customFormat="false" ht="15" hidden="false" customHeight="false" outlineLevel="0" collapsed="false">
      <c r="A24" s="7" t="s">
        <v>481</v>
      </c>
      <c r="B24" s="44" t="n">
        <v>20.78</v>
      </c>
      <c r="C24" s="44" t="n">
        <v>597.58</v>
      </c>
      <c r="D24" s="41" t="n">
        <f aca="false">B24/B23-1</f>
        <v>-0.0710773357174788</v>
      </c>
      <c r="E24" s="41" t="n">
        <f aca="false">C24/C23-1</f>
        <v>0.029440644972351</v>
      </c>
      <c r="F24" s="46" t="n">
        <f aca="false">MAX(F23,B24)</f>
        <v>29.83</v>
      </c>
      <c r="G24" s="41" t="n">
        <f aca="false">B24/F24-1</f>
        <v>-0.303385853167952</v>
      </c>
    </row>
    <row r="25" customFormat="false" ht="15" hidden="false" customHeight="false" outlineLevel="0" collapsed="false">
      <c r="A25" s="7" t="s">
        <v>482</v>
      </c>
      <c r="B25" s="44" t="n">
        <v>20.35</v>
      </c>
      <c r="C25" s="44" t="n">
        <v>607.97</v>
      </c>
      <c r="D25" s="41" t="n">
        <f aca="false">B25/B24-1</f>
        <v>-0.0206929740134745</v>
      </c>
      <c r="E25" s="41" t="n">
        <f aca="false">C25/C24-1</f>
        <v>0.0173867934000469</v>
      </c>
      <c r="F25" s="46" t="n">
        <f aca="false">MAX(F24,B25)</f>
        <v>29.83</v>
      </c>
      <c r="G25" s="41" t="n">
        <f aca="false">B25/F25-1</f>
        <v>-0.317800871605766</v>
      </c>
    </row>
    <row r="26" customFormat="false" ht="15" hidden="false" customHeight="false" outlineLevel="0" collapsed="false">
      <c r="A26" s="7" t="s">
        <v>483</v>
      </c>
      <c r="B26" s="44" t="n">
        <v>20.24</v>
      </c>
      <c r="C26" s="44" t="n">
        <v>601.82</v>
      </c>
      <c r="D26" s="41" t="n">
        <f aca="false">B26/B25-1</f>
        <v>-0.00540540540540557</v>
      </c>
      <c r="E26" s="41" t="n">
        <f aca="false">C26/C25-1</f>
        <v>-0.0101156307054624</v>
      </c>
      <c r="F26" s="46" t="n">
        <f aca="false">MAX(F25,B26)</f>
        <v>29.83</v>
      </c>
      <c r="G26" s="41" t="n">
        <f aca="false">B26/F26-1</f>
        <v>-0.321488434461951</v>
      </c>
    </row>
    <row r="27" customFormat="false" ht="15" hidden="false" customHeight="false" outlineLevel="0" collapsed="false">
      <c r="A27" s="7" t="s">
        <v>484</v>
      </c>
      <c r="B27" s="44" t="n">
        <v>26.51</v>
      </c>
      <c r="C27" s="44" t="n">
        <v>600.77</v>
      </c>
      <c r="D27" s="41" t="n">
        <f aca="false">B27/B26-1</f>
        <v>0.309782608695652</v>
      </c>
      <c r="E27" s="41" t="n">
        <f aca="false">C27/C26-1</f>
        <v>-0.00174470771991642</v>
      </c>
      <c r="F27" s="46" t="n">
        <f aca="false">MAX(F26,B27)</f>
        <v>29.83</v>
      </c>
      <c r="G27" s="41" t="n">
        <f aca="false">B27/F27-1</f>
        <v>-0.111297351659403</v>
      </c>
    </row>
    <row r="28" customFormat="false" ht="15" hidden="false" customHeight="false" outlineLevel="0" collapsed="false">
      <c r="A28" s="7" t="s">
        <v>485</v>
      </c>
      <c r="B28" s="44" t="n">
        <v>32.1</v>
      </c>
      <c r="C28" s="44" t="n">
        <v>609.7</v>
      </c>
      <c r="D28" s="41" t="n">
        <f aca="false">B28/B27-1</f>
        <v>0.210863824971709</v>
      </c>
      <c r="E28" s="41" t="n">
        <f aca="false">C28/C27-1</f>
        <v>0.0148642575361619</v>
      </c>
      <c r="F28" s="46" t="n">
        <f aca="false">MAX(F27,B28)</f>
        <v>32.1</v>
      </c>
      <c r="G28" s="41" t="n">
        <f aca="false">B28/F28-1</f>
        <v>0</v>
      </c>
    </row>
    <row r="29" customFormat="false" ht="15" hidden="false" customHeight="false" outlineLevel="0" collapsed="false">
      <c r="A29" s="7" t="s">
        <v>486</v>
      </c>
      <c r="B29" s="44" t="n">
        <v>28.64</v>
      </c>
      <c r="C29" s="44" t="n">
        <v>599.94</v>
      </c>
      <c r="D29" s="41" t="n">
        <f aca="false">B29/B28-1</f>
        <v>-0.10778816199377</v>
      </c>
      <c r="E29" s="41" t="n">
        <f aca="false">C29/C28-1</f>
        <v>-0.0160078727242906</v>
      </c>
      <c r="F29" s="46" t="n">
        <f aca="false">MAX(F28,B29)</f>
        <v>32.1</v>
      </c>
      <c r="G29" s="41" t="n">
        <f aca="false">B29/F29-1</f>
        <v>-0.10778816199377</v>
      </c>
    </row>
    <row r="30" customFormat="false" ht="15" hidden="false" customHeight="false" outlineLevel="0" collapsed="false">
      <c r="A30" s="7" t="s">
        <v>487</v>
      </c>
      <c r="B30" s="44" t="n">
        <v>27.11</v>
      </c>
      <c r="C30" s="44" t="n">
        <v>594.18</v>
      </c>
      <c r="D30" s="41" t="n">
        <f aca="false">B30/B29-1</f>
        <v>-0.0534217877094972</v>
      </c>
      <c r="E30" s="41" t="n">
        <f aca="false">C30/C29-1</f>
        <v>-0.00960096009600975</v>
      </c>
      <c r="F30" s="46" t="n">
        <f aca="false">MAX(F29,B30)</f>
        <v>32.1</v>
      </c>
      <c r="G30" s="41" t="n">
        <f aca="false">B30/F30-1</f>
        <v>-0.155451713395639</v>
      </c>
    </row>
    <row r="31" customFormat="false" ht="15" hidden="false" customHeight="false" outlineLevel="0" collapsed="false">
      <c r="A31" s="7" t="s">
        <v>488</v>
      </c>
      <c r="B31" s="44" t="n">
        <v>33.4</v>
      </c>
      <c r="C31" s="44" t="n">
        <v>575.92</v>
      </c>
      <c r="D31" s="41" t="n">
        <f aca="false">B31/B30-1</f>
        <v>0.232017705643674</v>
      </c>
      <c r="E31" s="41" t="n">
        <f aca="false">C31/C30-1</f>
        <v>-0.0307314281867448</v>
      </c>
      <c r="F31" s="46" t="n">
        <f aca="false">MAX(F30,B31)</f>
        <v>33.4</v>
      </c>
      <c r="G31" s="41" t="n">
        <f aca="false">B31/F31-1</f>
        <v>0</v>
      </c>
    </row>
    <row r="32" customFormat="false" ht="15" hidden="false" customHeight="false" outlineLevel="0" collapsed="false">
      <c r="A32" s="7" t="s">
        <v>489</v>
      </c>
      <c r="B32" s="44" t="n">
        <v>28.15</v>
      </c>
      <c r="C32" s="44" t="n">
        <v>562.81</v>
      </c>
      <c r="D32" s="41" t="n">
        <f aca="false">B32/B31-1</f>
        <v>-0.157185628742515</v>
      </c>
      <c r="E32" s="41" t="n">
        <f aca="false">C32/C31-1</f>
        <v>-0.0227635782747604</v>
      </c>
      <c r="F32" s="46" t="n">
        <f aca="false">MAX(F31,B32)</f>
        <v>33.4</v>
      </c>
      <c r="G32" s="41" t="n">
        <f aca="false">B32/F32-1</f>
        <v>-0.157185628742515</v>
      </c>
    </row>
    <row r="33" customFormat="false" ht="15" hidden="false" customHeight="false" outlineLevel="0" collapsed="false">
      <c r="A33" s="7" t="s">
        <v>490</v>
      </c>
      <c r="B33" s="44" t="n">
        <v>25.71</v>
      </c>
      <c r="C33" s="44" t="n">
        <v>563.98</v>
      </c>
      <c r="D33" s="41" t="n">
        <f aca="false">B33/B32-1</f>
        <v>-0.0866785079928951</v>
      </c>
      <c r="E33" s="41" t="n">
        <f aca="false">C33/C32-1</f>
        <v>0.00207885432028587</v>
      </c>
      <c r="F33" s="46" t="n">
        <f aca="false">MAX(F32,B33)</f>
        <v>33.4</v>
      </c>
      <c r="G33" s="41" t="n">
        <f aca="false">B33/F33-1</f>
        <v>-0.230239520958084</v>
      </c>
    </row>
    <row r="34" customFormat="false" ht="15" hidden="false" customHeight="false" outlineLevel="0" collapsed="false">
      <c r="A34" s="7" t="s">
        <v>491</v>
      </c>
      <c r="B34" s="44" t="n">
        <v>24.06</v>
      </c>
      <c r="C34" s="44" t="n">
        <v>555.66</v>
      </c>
      <c r="D34" s="41" t="n">
        <f aca="false">B34/B33-1</f>
        <v>-0.0641773628938157</v>
      </c>
      <c r="E34" s="41" t="n">
        <f aca="false">C34/C33-1</f>
        <v>-0.0147522961807157</v>
      </c>
      <c r="F34" s="46" t="n">
        <f aca="false">MAX(F33,B34)</f>
        <v>33.4</v>
      </c>
      <c r="G34" s="41" t="n">
        <f aca="false">B34/F34-1</f>
        <v>-0.279640718562874</v>
      </c>
    </row>
    <row r="35" customFormat="false" ht="15" hidden="false" customHeight="false" outlineLevel="0" collapsed="false">
      <c r="A35" s="7" t="s">
        <v>492</v>
      </c>
      <c r="B35" s="44" t="n">
        <v>20.07</v>
      </c>
      <c r="C35" s="44" t="n">
        <v>505.28</v>
      </c>
      <c r="D35" s="41" t="n">
        <f aca="false">B35/B34-1</f>
        <v>-0.165835411471322</v>
      </c>
      <c r="E35" s="41" t="n">
        <f aca="false">C35/C34-1</f>
        <v>-0.0906669546125328</v>
      </c>
      <c r="F35" s="46" t="n">
        <f aca="false">MAX(F34,B35)</f>
        <v>33.4</v>
      </c>
      <c r="G35" s="41" t="n">
        <f aca="false">B35/F35-1</f>
        <v>-0.399101796407186</v>
      </c>
    </row>
    <row r="36" customFormat="false" ht="15" hidden="false" customHeight="false" outlineLevel="0" collapsed="false">
      <c r="A36" s="7" t="s">
        <v>493</v>
      </c>
      <c r="B36" s="44" t="n">
        <v>23.28</v>
      </c>
      <c r="C36" s="44" t="n">
        <v>533.94</v>
      </c>
      <c r="D36" s="41" t="n">
        <f aca="false">B36/B35-1</f>
        <v>0.159940209267563</v>
      </c>
      <c r="E36" s="41" t="n">
        <f aca="false">C36/C35-1</f>
        <v>0.0567210259658013</v>
      </c>
      <c r="F36" s="46" t="n">
        <f aca="false">MAX(F35,B36)</f>
        <v>33.4</v>
      </c>
      <c r="G36" s="41" t="n">
        <f aca="false">B36/F36-1</f>
        <v>-0.302994011976048</v>
      </c>
    </row>
    <row r="37" customFormat="false" ht="15" hidden="false" customHeight="false" outlineLevel="0" collapsed="false">
      <c r="A37" s="7" t="s">
        <v>494</v>
      </c>
      <c r="B37" s="44" t="n">
        <v>23.39</v>
      </c>
      <c r="C37" s="44" t="n">
        <v>526.41</v>
      </c>
      <c r="D37" s="41" t="n">
        <f aca="false">B37/B36-1</f>
        <v>0.0047250859106529</v>
      </c>
      <c r="E37" s="41" t="n">
        <f aca="false">C37/C36-1</f>
        <v>-0.0141027081694574</v>
      </c>
      <c r="F37" s="46" t="n">
        <f aca="false">MAX(F36,B37)</f>
        <v>33.4</v>
      </c>
      <c r="G37" s="41" t="n">
        <f aca="false">B37/F37-1</f>
        <v>-0.299700598802395</v>
      </c>
    </row>
    <row r="38" customFormat="false" ht="15" hidden="false" customHeight="false" outlineLevel="0" collapsed="false">
      <c r="A38" s="7" t="s">
        <v>495</v>
      </c>
      <c r="B38" s="44" t="n">
        <v>23.76</v>
      </c>
      <c r="C38" s="44" t="n">
        <v>550.64</v>
      </c>
      <c r="D38" s="41" t="n">
        <f aca="false">B38/B37-1</f>
        <v>0.0158187259512612</v>
      </c>
      <c r="E38" s="41" t="n">
        <f aca="false">C38/C37-1</f>
        <v>0.0460287608518075</v>
      </c>
      <c r="F38" s="46" t="n">
        <f aca="false">MAX(F37,B38)</f>
        <v>33.4</v>
      </c>
      <c r="G38" s="41" t="n">
        <f aca="false">B38/F38-1</f>
        <v>-0.288622754491018</v>
      </c>
    </row>
    <row r="39" customFormat="false" ht="15" hidden="false" customHeight="false" outlineLevel="0" collapsed="false">
      <c r="A39" s="7" t="s">
        <v>496</v>
      </c>
      <c r="B39" s="44" t="n">
        <v>26.42</v>
      </c>
      <c r="C39" s="44" t="n">
        <v>566.76</v>
      </c>
      <c r="D39" s="41" t="n">
        <f aca="false">B39/B38-1</f>
        <v>0.111952861952862</v>
      </c>
      <c r="E39" s="41" t="n">
        <f aca="false">C39/C38-1</f>
        <v>0.0292750254249601</v>
      </c>
      <c r="F39" s="46" t="n">
        <f aca="false">MAX(F38,B39)</f>
        <v>33.4</v>
      </c>
      <c r="G39" s="41" t="n">
        <f aca="false">B39/F39-1</f>
        <v>-0.208982035928144</v>
      </c>
    </row>
    <row r="40" customFormat="false" ht="15" hidden="false" customHeight="false" outlineLevel="0" collapsed="false">
      <c r="A40" s="7" t="s">
        <v>497</v>
      </c>
      <c r="B40" s="44" t="n">
        <v>25.76</v>
      </c>
      <c r="C40" s="44" t="n">
        <v>564.34</v>
      </c>
      <c r="D40" s="41" t="n">
        <f aca="false">B40/B39-1</f>
        <v>-0.0249810749432249</v>
      </c>
      <c r="E40" s="41" t="n">
        <f aca="false">C40/C39-1</f>
        <v>-0.00426988496012415</v>
      </c>
      <c r="F40" s="46" t="n">
        <f aca="false">MAX(F39,B40)</f>
        <v>33.4</v>
      </c>
      <c r="G40" s="41" t="n">
        <f aca="false">B40/F40-1</f>
        <v>-0.22874251497006</v>
      </c>
    </row>
    <row r="41" customFormat="false" ht="15" hidden="false" customHeight="false" outlineLevel="0" collapsed="false">
      <c r="A41" s="7" t="s">
        <v>498</v>
      </c>
      <c r="B41" s="44" t="n">
        <v>26.66</v>
      </c>
      <c r="C41" s="44" t="n">
        <v>594.2</v>
      </c>
      <c r="D41" s="41" t="n">
        <f aca="false">B41/B40-1</f>
        <v>0.0349378881987577</v>
      </c>
      <c r="E41" s="41" t="n">
        <f aca="false">C41/C40-1</f>
        <v>0.0529113654888898</v>
      </c>
      <c r="F41" s="46" t="n">
        <f aca="false">MAX(F40,B41)</f>
        <v>33.4</v>
      </c>
      <c r="G41" s="41" t="n">
        <f aca="false">B41/F41-1</f>
        <v>-0.201796407185629</v>
      </c>
    </row>
    <row r="42" customFormat="false" ht="15" hidden="false" customHeight="false" outlineLevel="0" collapsed="false">
      <c r="A42" s="7" t="s">
        <v>499</v>
      </c>
      <c r="B42" s="44" t="n">
        <v>24.095</v>
      </c>
      <c r="C42" s="44" t="n">
        <v>579.11</v>
      </c>
      <c r="D42" s="41" t="n">
        <f aca="false">B42/B41-1</f>
        <v>-0.0962115528882221</v>
      </c>
      <c r="E42" s="41" t="n">
        <f aca="false">C42/C41-1</f>
        <v>-0.0253954897340963</v>
      </c>
      <c r="F42" s="46" t="n">
        <f aca="false">MAX(F41,B42)</f>
        <v>33.4</v>
      </c>
      <c r="G42" s="41" t="n">
        <f aca="false">B42/F42-1</f>
        <v>-0.278592814371258</v>
      </c>
    </row>
    <row r="43" customFormat="false" ht="15" hidden="false" customHeight="false" outlineLevel="0" collapsed="false">
      <c r="A43" s="7" t="s">
        <v>500</v>
      </c>
      <c r="B43" s="44" t="n">
        <v>23.07</v>
      </c>
      <c r="C43" s="44" t="n">
        <v>589.39</v>
      </c>
      <c r="D43" s="41" t="n">
        <f aca="false">B43/B42-1</f>
        <v>-0.0425399460468976</v>
      </c>
      <c r="E43" s="41" t="n">
        <f aca="false">C43/C42-1</f>
        <v>0.0177513771131563</v>
      </c>
      <c r="F43" s="46" t="n">
        <f aca="false">MAX(F42,B43)</f>
        <v>33.4</v>
      </c>
      <c r="G43" s="41" t="n">
        <f aca="false">B43/F43-1</f>
        <v>-0.309281437125749</v>
      </c>
    </row>
    <row r="44" customFormat="false" ht="15" hidden="false" customHeight="false" outlineLevel="0" collapsed="false">
      <c r="A44" s="7" t="s">
        <v>501</v>
      </c>
      <c r="B44" s="44" t="n">
        <v>31.19</v>
      </c>
      <c r="C44" s="44" t="n">
        <v>599.14</v>
      </c>
      <c r="D44" s="41" t="n">
        <f aca="false">B44/B43-1</f>
        <v>0.35197225834417</v>
      </c>
      <c r="E44" s="41" t="n">
        <f aca="false">C44/C43-1</f>
        <v>0.0165425270194608</v>
      </c>
      <c r="F44" s="46" t="n">
        <f aca="false">MAX(F43,B44)</f>
        <v>33.4</v>
      </c>
      <c r="G44" s="41" t="n">
        <f aca="false">B44/F44-1</f>
        <v>-0.0661676646706586</v>
      </c>
    </row>
    <row r="45" customFormat="false" ht="15" hidden="false" customHeight="false" outlineLevel="0" collapsed="false">
      <c r="A45" s="7" t="s">
        <v>502</v>
      </c>
      <c r="B45" s="44" t="n">
        <v>38.37</v>
      </c>
      <c r="C45" s="44" t="n">
        <v>597</v>
      </c>
      <c r="D45" s="41" t="n">
        <f aca="false">B45/B44-1</f>
        <v>0.230201987816608</v>
      </c>
      <c r="E45" s="41" t="n">
        <f aca="false">C45/C44-1</f>
        <v>-0.00357178622692522</v>
      </c>
      <c r="F45" s="46" t="n">
        <f aca="false">MAX(F44,B45)</f>
        <v>38.37</v>
      </c>
      <c r="G45" s="41" t="n">
        <f aca="false">B45/F45-1</f>
        <v>0</v>
      </c>
    </row>
    <row r="46" customFormat="false" ht="15" hidden="false" customHeight="false" outlineLevel="0" collapsed="false">
      <c r="A46" s="7" t="s">
        <v>503</v>
      </c>
      <c r="B46" s="44" t="n">
        <v>45.94</v>
      </c>
      <c r="C46" s="44" t="n">
        <v>594.28</v>
      </c>
      <c r="D46" s="41" t="n">
        <f aca="false">B46/B45-1</f>
        <v>0.197289549126922</v>
      </c>
      <c r="E46" s="41" t="n">
        <f aca="false">C46/C45-1</f>
        <v>-0.0045561139028476</v>
      </c>
      <c r="F46" s="46" t="n">
        <f aca="false">MAX(F45,B46)</f>
        <v>45.94</v>
      </c>
      <c r="G46" s="41" t="n">
        <f aca="false">B46/F46-1</f>
        <v>0</v>
      </c>
    </row>
    <row r="47" customFormat="false" ht="15" hidden="false" customHeight="false" outlineLevel="0" collapsed="false">
      <c r="A47" s="7" t="s">
        <v>504</v>
      </c>
      <c r="B47" s="44" t="n">
        <v>49.36</v>
      </c>
      <c r="C47" s="44" t="n">
        <v>614.91</v>
      </c>
      <c r="D47" s="41" t="n">
        <f aca="false">B47/B46-1</f>
        <v>0.0744449281671746</v>
      </c>
      <c r="E47" s="41" t="n">
        <f aca="false">C47/C46-1</f>
        <v>0.0347142760988086</v>
      </c>
      <c r="F47" s="46" t="n">
        <f aca="false">MAX(F46,B47)</f>
        <v>49.36</v>
      </c>
      <c r="G47" s="41" t="n">
        <f aca="false">B47/F47-1</f>
        <v>0</v>
      </c>
    </row>
    <row r="48" customFormat="false" ht="15" hidden="false" customHeight="false" outlineLevel="0" collapsed="false">
      <c r="A48" s="7" t="s">
        <v>505</v>
      </c>
      <c r="B48" s="44" t="n">
        <v>45.6</v>
      </c>
      <c r="C48" s="44" t="n">
        <v>625.34</v>
      </c>
      <c r="D48" s="41" t="n">
        <f aca="false">B48/B47-1</f>
        <v>-0.0761750405186386</v>
      </c>
      <c r="E48" s="41" t="n">
        <f aca="false">C48/C47-1</f>
        <v>0.0169618318127858</v>
      </c>
      <c r="F48" s="46" t="n">
        <f aca="false">MAX(F47,B48)</f>
        <v>49.36</v>
      </c>
      <c r="G48" s="41" t="n">
        <f aca="false">B48/F48-1</f>
        <v>-0.0761750405186386</v>
      </c>
    </row>
    <row r="49" customFormat="false" ht="15" hidden="false" customHeight="false" outlineLevel="0" collapsed="false">
      <c r="A49" s="7" t="s">
        <v>506</v>
      </c>
      <c r="B49" s="44" t="n">
        <v>45.58</v>
      </c>
      <c r="C49" s="44" t="n">
        <v>623.62</v>
      </c>
      <c r="D49" s="41" t="n">
        <f aca="false">B49/B48-1</f>
        <v>-0.000438596491228127</v>
      </c>
      <c r="E49" s="41" t="n">
        <f aca="false">C49/C48-1</f>
        <v>-0.00275050372597307</v>
      </c>
      <c r="F49" s="46" t="n">
        <f aca="false">MAX(F48,B49)</f>
        <v>49.36</v>
      </c>
      <c r="G49" s="41" t="n">
        <f aca="false">B49/F49-1</f>
        <v>-0.0765802269043761</v>
      </c>
    </row>
    <row r="50" customFormat="false" ht="15" hidden="false" customHeight="false" outlineLevel="0" collapsed="false">
      <c r="A50" s="7" t="s">
        <v>507</v>
      </c>
      <c r="B50" s="44" t="n">
        <v>57.98</v>
      </c>
      <c r="C50" s="44" t="n">
        <v>627.58</v>
      </c>
      <c r="D50" s="41" t="n">
        <f aca="false">B50/B49-1</f>
        <v>0.272049144361562</v>
      </c>
      <c r="E50" s="41" t="n">
        <f aca="false">C50/C49-1</f>
        <v>0.00635002084602809</v>
      </c>
      <c r="F50" s="46" t="n">
        <f aca="false">MAX(F49,B50)</f>
        <v>57.98</v>
      </c>
      <c r="G50" s="41" t="n">
        <f aca="false">B50/F50-1</f>
        <v>0</v>
      </c>
    </row>
    <row r="51" customFormat="false" ht="15" hidden="false" customHeight="false" outlineLevel="0" collapsed="false">
      <c r="A51" s="7" t="s">
        <v>508</v>
      </c>
      <c r="B51" s="44" t="n">
        <v>54.335</v>
      </c>
      <c r="C51" s="44" t="n">
        <v>637.1</v>
      </c>
      <c r="D51" s="41" t="n">
        <f aca="false">B51/B50-1</f>
        <v>-0.0628665056916178</v>
      </c>
      <c r="E51" s="41" t="n">
        <f aca="false">C51/C50-1</f>
        <v>0.0151693807960738</v>
      </c>
      <c r="F51" s="46" t="n">
        <f aca="false">MAX(F50,B51)</f>
        <v>57.98</v>
      </c>
      <c r="G51" s="41" t="n">
        <f aca="false">B51/F51-1</f>
        <v>-0.0628665056916178</v>
      </c>
    </row>
    <row r="52" customFormat="false" ht="15" hidden="false" customHeight="false" outlineLevel="0" collapsed="false">
      <c r="A52" s="7" t="s">
        <v>509</v>
      </c>
      <c r="B52" s="44" t="n">
        <v>52.46</v>
      </c>
      <c r="C52" s="44" t="n">
        <v>621.72</v>
      </c>
      <c r="D52" s="41" t="n">
        <f aca="false">B52/B51-1</f>
        <v>-0.0345081439219656</v>
      </c>
      <c r="E52" s="41" t="n">
        <f aca="false">C52/C51-1</f>
        <v>-0.0241406372625961</v>
      </c>
      <c r="F52" s="46" t="n">
        <f aca="false">MAX(F51,B52)</f>
        <v>57.98</v>
      </c>
      <c r="G52" s="41" t="n">
        <f aca="false">B52/F52-1</f>
        <v>-0.0952052431873059</v>
      </c>
    </row>
    <row r="53" customFormat="false" ht="15" hidden="false" customHeight="false" outlineLevel="0" collapsed="false">
      <c r="A53" s="7" t="s">
        <v>510</v>
      </c>
      <c r="B53" s="44" t="n">
        <v>46.63</v>
      </c>
      <c r="C53" s="44" t="n">
        <v>637.18</v>
      </c>
      <c r="D53" s="41" t="n">
        <f aca="false">B53/B52-1</f>
        <v>-0.111132291269539</v>
      </c>
      <c r="E53" s="41" t="n">
        <f aca="false">C53/C52-1</f>
        <v>0.0248664993887922</v>
      </c>
      <c r="F53" s="46" t="n">
        <f aca="false">MAX(F52,B53)</f>
        <v>57.98</v>
      </c>
      <c r="G53" s="41" t="n">
        <f aca="false">B53/F53-1</f>
        <v>-0.195757157640566</v>
      </c>
    </row>
    <row r="54" customFormat="false" ht="15" hidden="false" customHeight="false" outlineLevel="0" collapsed="false">
      <c r="A54" s="7" t="s">
        <v>511</v>
      </c>
      <c r="B54" s="44" t="n">
        <v>48.08</v>
      </c>
      <c r="C54" s="44" t="n">
        <v>643.44</v>
      </c>
      <c r="D54" s="41" t="n">
        <f aca="false">B54/B53-1</f>
        <v>0.0310958610336691</v>
      </c>
      <c r="E54" s="41" t="n">
        <f aca="false">C54/C53-1</f>
        <v>0.00982453937662853</v>
      </c>
      <c r="F54" s="46" t="n">
        <f aca="false">MAX(F53,B54)</f>
        <v>57.98</v>
      </c>
      <c r="G54" s="41" t="n">
        <f aca="false">B54/F54-1</f>
        <v>-0.170748533977234</v>
      </c>
    </row>
    <row r="55" customFormat="false" ht="15" hidden="false" customHeight="false" outlineLevel="0" collapsed="false">
      <c r="A55" s="7" t="s">
        <v>512</v>
      </c>
      <c r="B55" s="44" t="n">
        <v>47.07</v>
      </c>
      <c r="C55" s="44" t="n">
        <v>645.31</v>
      </c>
      <c r="D55" s="41" t="n">
        <f aca="false">B55/B54-1</f>
        <v>-0.0210066555740432</v>
      </c>
      <c r="E55" s="41" t="n">
        <f aca="false">C55/C54-1</f>
        <v>0.00290625388536592</v>
      </c>
      <c r="F55" s="46" t="n">
        <f aca="false">MAX(F54,B55)</f>
        <v>57.98</v>
      </c>
      <c r="G55" s="41" t="n">
        <f aca="false">B55/F55-1</f>
        <v>-0.188168333908244</v>
      </c>
    </row>
    <row r="56" customFormat="false" ht="15" hidden="false" customHeight="false" outlineLevel="0" collapsed="false">
      <c r="A56" s="7" t="s">
        <v>513</v>
      </c>
      <c r="B56" s="44" t="n">
        <v>48.94</v>
      </c>
      <c r="C56" s="44" t="n">
        <v>645.05</v>
      </c>
      <c r="D56" s="41" t="n">
        <f aca="false">B56/B55-1</f>
        <v>0.0397280645846612</v>
      </c>
      <c r="E56" s="41" t="n">
        <f aca="false">C56/C55-1</f>
        <v>-0.000402907129906538</v>
      </c>
      <c r="F56" s="46" t="n">
        <f aca="false">MAX(F55,B56)</f>
        <v>57.98</v>
      </c>
      <c r="G56" s="41" t="n">
        <f aca="false">B56/F56-1</f>
        <v>-0.155915833045878</v>
      </c>
    </row>
    <row r="57" customFormat="false" ht="15" hidden="false" customHeight="false" outlineLevel="0" collapsed="false">
      <c r="A57" s="7" t="s">
        <v>514</v>
      </c>
      <c r="B57" s="44" t="n">
        <v>42.41</v>
      </c>
      <c r="C57" s="44" t="n">
        <v>647.24</v>
      </c>
      <c r="D57" s="41" t="n">
        <f aca="false">B57/B56-1</f>
        <v>-0.13342868818962</v>
      </c>
      <c r="E57" s="41" t="n">
        <f aca="false">C57/C56-1</f>
        <v>0.00339508565227509</v>
      </c>
      <c r="F57" s="46" t="n">
        <f aca="false">MAX(F56,B57)</f>
        <v>57.98</v>
      </c>
      <c r="G57" s="41" t="n">
        <f aca="false">B57/F57-1</f>
        <v>-0.268540876164195</v>
      </c>
    </row>
    <row r="58" customFormat="false" ht="15" hidden="false" customHeight="false" outlineLevel="0" collapsed="false">
      <c r="A58" s="7" t="s">
        <v>515</v>
      </c>
      <c r="B58" s="44" t="n">
        <v>38.72</v>
      </c>
      <c r="C58" s="44" t="n">
        <v>657.41</v>
      </c>
      <c r="D58" s="41" t="n">
        <f aca="false">B58/B57-1</f>
        <v>-0.087007781183683</v>
      </c>
      <c r="E58" s="41" t="n">
        <f aca="false">C58/C57-1</f>
        <v>0.0157128731227982</v>
      </c>
      <c r="F58" s="46" t="n">
        <f aca="false">MAX(F57,B58)</f>
        <v>57.98</v>
      </c>
      <c r="G58" s="41" t="n">
        <f aca="false">B58/F58-1</f>
        <v>-0.332183511555709</v>
      </c>
    </row>
    <row r="59" customFormat="false" ht="15" hidden="false" customHeight="false" outlineLevel="0" collapsed="false">
      <c r="A59" s="7" t="s">
        <v>516</v>
      </c>
      <c r="B59" s="44" t="n">
        <v>45.1</v>
      </c>
      <c r="C59" s="44" t="n">
        <v>663.7</v>
      </c>
      <c r="D59" s="41" t="n">
        <f aca="false">B59/B58-1</f>
        <v>0.164772727272727</v>
      </c>
      <c r="E59" s="41" t="n">
        <f aca="false">C59/C58-1</f>
        <v>0.00956784959157919</v>
      </c>
      <c r="F59" s="46" t="n">
        <f aca="false">MAX(F58,B59)</f>
        <v>57.98</v>
      </c>
      <c r="G59" s="41" t="n">
        <f aca="false">B59/F59-1</f>
        <v>-0.222145567437047</v>
      </c>
    </row>
    <row r="60" customFormat="false" ht="15" hidden="false" customHeight="false" outlineLevel="0" collapsed="false">
      <c r="A60" s="7" t="s">
        <v>517</v>
      </c>
      <c r="B60" s="44" t="n">
        <v>49.09</v>
      </c>
      <c r="C60" s="44" t="n">
        <v>661.82</v>
      </c>
      <c r="D60" s="41" t="n">
        <f aca="false">B60/B59-1</f>
        <v>0.0884700665188472</v>
      </c>
      <c r="E60" s="41" t="n">
        <f aca="false">C60/C59-1</f>
        <v>-0.00283260509266237</v>
      </c>
      <c r="F60" s="46" t="n">
        <f aca="false">MAX(F59,B60)</f>
        <v>57.98</v>
      </c>
      <c r="G60" s="41" t="n">
        <f aca="false">B60/F60-1</f>
        <v>-0.153328734046223</v>
      </c>
    </row>
    <row r="61" customFormat="false" ht="15" hidden="false" customHeight="false" outlineLevel="0" collapsed="false">
      <c r="A61" s="7" t="s">
        <v>518</v>
      </c>
      <c r="B61" s="44" t="n">
        <v>67.76</v>
      </c>
      <c r="C61" s="44" t="n">
        <v>669.21</v>
      </c>
      <c r="D61" s="41" t="n">
        <f aca="false">B61/B60-1</f>
        <v>0.380321857812182</v>
      </c>
      <c r="E61" s="41" t="n">
        <f aca="false">C61/C60-1</f>
        <v>0.0111661781148953</v>
      </c>
      <c r="F61" s="46" t="n">
        <f aca="false">MAX(F60,B61)</f>
        <v>67.76</v>
      </c>
      <c r="G61" s="41" t="n">
        <f aca="false">B61/F61-1</f>
        <v>0</v>
      </c>
    </row>
    <row r="62" customFormat="false" ht="15" hidden="false" customHeight="false" outlineLevel="0" collapsed="false">
      <c r="A62" s="7" t="s">
        <v>519</v>
      </c>
      <c r="B62" s="44" t="n">
        <v>82.03</v>
      </c>
      <c r="C62" s="44" t="n">
        <v>653.02</v>
      </c>
      <c r="D62" s="41" t="n">
        <f aca="false">B62/B61-1</f>
        <v>0.210596221959858</v>
      </c>
      <c r="E62" s="41" t="n">
        <f aca="false">C62/C61-1</f>
        <v>-0.0241927048310695</v>
      </c>
      <c r="F62" s="46" t="n">
        <f aca="false">MAX(F61,B62)</f>
        <v>82.03</v>
      </c>
      <c r="G62" s="41" t="n">
        <f aca="false">B62/F62-1</f>
        <v>0</v>
      </c>
    </row>
    <row r="63" customFormat="false" ht="15" hidden="false" customHeight="false" outlineLevel="0" collapsed="false">
      <c r="A63" s="7" t="s">
        <v>520</v>
      </c>
      <c r="B63" s="44" t="n">
        <v>83.49</v>
      </c>
      <c r="C63" s="44" t="n">
        <v>664.39</v>
      </c>
      <c r="D63" s="41" t="n">
        <f aca="false">B63/B62-1</f>
        <v>0.0177983664512982</v>
      </c>
      <c r="E63" s="41" t="n">
        <f aca="false">C63/C62-1</f>
        <v>0.017411411595357</v>
      </c>
      <c r="F63" s="46" t="n">
        <f aca="false">MAX(F62,B63)</f>
        <v>83.49</v>
      </c>
      <c r="G63" s="41" t="n">
        <f aca="false">B63/F63-1</f>
        <v>0</v>
      </c>
    </row>
    <row r="64" customFormat="false" ht="15" hidden="false" customHeight="false" outlineLevel="0" collapsed="false">
      <c r="A64" s="7" t="s">
        <v>521</v>
      </c>
      <c r="B64" s="44" t="n">
        <v>73.7</v>
      </c>
      <c r="C64" s="44" t="n">
        <v>677.25</v>
      </c>
      <c r="D64" s="41" t="n">
        <f aca="false">B64/B63-1</f>
        <v>-0.117259552042161</v>
      </c>
      <c r="E64" s="41" t="n">
        <f aca="false">C64/C63-1</f>
        <v>0.0193561010852059</v>
      </c>
      <c r="F64" s="46" t="n">
        <f aca="false">MAX(F63,B64)</f>
        <v>83.49</v>
      </c>
      <c r="G64" s="41" t="n">
        <f aca="false">B64/F64-1</f>
        <v>-0.117259552042161</v>
      </c>
    </row>
    <row r="65" customFormat="false" ht="15" hidden="false" customHeight="false" outlineLevel="0" collapsed="false">
      <c r="A65" s="7" t="s">
        <v>522</v>
      </c>
      <c r="B65" s="44" t="n">
        <v>80.25</v>
      </c>
      <c r="C65" s="44" t="n">
        <v>682.06</v>
      </c>
      <c r="D65" s="41" t="n">
        <f aca="false">B65/B64-1</f>
        <v>0.0888738127544098</v>
      </c>
      <c r="E65" s="41" t="n">
        <f aca="false">C65/C64-1</f>
        <v>0.0071022517534145</v>
      </c>
      <c r="F65" s="46" t="n">
        <f aca="false">MAX(F64,B65)</f>
        <v>83.49</v>
      </c>
      <c r="G65" s="41" t="n">
        <f aca="false">B65/F65-1</f>
        <v>-0.0388070427596119</v>
      </c>
    </row>
    <row r="66" customFormat="false" ht="15" hidden="false" customHeight="false" outlineLevel="0" collapsed="false">
      <c r="A66" s="7" t="s">
        <v>523</v>
      </c>
      <c r="B66" s="44" t="n">
        <v>69.19</v>
      </c>
      <c r="C66" s="44" t="n">
        <v>670.97</v>
      </c>
      <c r="D66" s="41" t="n">
        <f aca="false">B66/B65-1</f>
        <v>-0.137819314641745</v>
      </c>
      <c r="E66" s="41" t="n">
        <f aca="false">C66/C65-1</f>
        <v>-0.0162595666070432</v>
      </c>
      <c r="F66" s="46" t="n">
        <f aca="false">MAX(F65,B66)</f>
        <v>83.49</v>
      </c>
      <c r="G66" s="41" t="n">
        <f aca="false">B66/F66-1</f>
        <v>-0.171277997364954</v>
      </c>
    </row>
    <row r="67" customFormat="false" ht="15" hidden="false" customHeight="false" outlineLevel="0" collapsed="false">
      <c r="A67" s="7" t="s">
        <v>524</v>
      </c>
      <c r="B67" s="44" t="n">
        <v>61.4</v>
      </c>
      <c r="C67" s="44" t="n">
        <v>671.93</v>
      </c>
      <c r="D67" s="41" t="n">
        <f aca="false">B67/B66-1</f>
        <v>-0.11258852435323</v>
      </c>
      <c r="E67" s="41" t="n">
        <f aca="false">C67/C66-1</f>
        <v>0.00143076441569656</v>
      </c>
      <c r="F67" s="46" t="n">
        <f aca="false">MAX(F66,B67)</f>
        <v>83.49</v>
      </c>
      <c r="G67" s="41" t="n">
        <f aca="false">B67/F67-1</f>
        <v>-0.264582584740688</v>
      </c>
    </row>
    <row r="68" customFormat="false" ht="15" hidden="false" customHeight="false" outlineLevel="0" collapsed="false">
      <c r="A68" s="7" t="s">
        <v>525</v>
      </c>
      <c r="B68" s="44" t="n">
        <v>51.37</v>
      </c>
      <c r="C68" s="44" t="n">
        <v>659.03</v>
      </c>
      <c r="D68" s="41" t="n">
        <f aca="false">B68/B67-1</f>
        <v>-0.163355048859935</v>
      </c>
      <c r="E68" s="41" t="n">
        <f aca="false">C68/C67-1</f>
        <v>-0.019198428407721</v>
      </c>
      <c r="F68" s="46" t="n">
        <f aca="false">MAX(F67,B68)</f>
        <v>83.49</v>
      </c>
      <c r="G68" s="41" t="n">
        <f aca="false">B68/F68-1</f>
        <v>-0.384716732542819</v>
      </c>
    </row>
    <row r="69" customFormat="false" ht="15" hidden="false" customHeight="false" outlineLevel="0" collapsed="false">
      <c r="A69" s="7" t="s">
        <v>526</v>
      </c>
      <c r="B69" s="44" t="n">
        <v>56.2</v>
      </c>
      <c r="C69" s="44" t="n">
        <v>683.39</v>
      </c>
      <c r="D69" s="41" t="n">
        <f aca="false">B69/B68-1</f>
        <v>0.094023749270002</v>
      </c>
      <c r="E69" s="41" t="n">
        <f aca="false">C69/C68-1</f>
        <v>0.0369634159294721</v>
      </c>
      <c r="F69" s="46" t="n">
        <f aca="false">MAX(F68,B69)</f>
        <v>83.49</v>
      </c>
      <c r="G69" s="41" t="n">
        <f aca="false">B69/F69-1</f>
        <v>-0.326865492873398</v>
      </c>
    </row>
    <row r="70" customFormat="false" ht="15" hidden="false" customHeight="false" outlineLevel="0" collapsed="false">
      <c r="A70" s="7" t="s">
        <v>527</v>
      </c>
      <c r="B70" s="44" t="n">
        <v>73.92</v>
      </c>
      <c r="C70" s="44" t="n">
        <v>685.69</v>
      </c>
      <c r="D70" s="41" t="n">
        <f aca="false">B70/B69-1</f>
        <v>0.315302491103203</v>
      </c>
      <c r="E70" s="41" t="n">
        <f aca="false">C70/C69-1</f>
        <v>0.00336557456210951</v>
      </c>
      <c r="F70" s="46" t="n">
        <f aca="false">MAX(F69,B70)</f>
        <v>83.49</v>
      </c>
      <c r="G70" s="41" t="n">
        <f aca="false">B70/F70-1</f>
        <v>-0.114624505928854</v>
      </c>
    </row>
    <row r="71" customFormat="false" ht="15" hidden="false" customHeight="false" outlineLevel="0" collapsed="false">
      <c r="A71" s="7" t="s">
        <v>528</v>
      </c>
      <c r="B71" s="44" t="n">
        <v>76.7</v>
      </c>
      <c r="C71" s="44" t="n">
        <v>681.76</v>
      </c>
      <c r="D71" s="41" t="n">
        <f aca="false">B71/B70-1</f>
        <v>0.037608225108225</v>
      </c>
      <c r="E71" s="41" t="n">
        <f aca="false">C71/C70-1</f>
        <v>-0.00573145298896016</v>
      </c>
      <c r="F71" s="46" t="n">
        <f aca="false">MAX(F70,B71)</f>
        <v>83.49</v>
      </c>
      <c r="G71" s="41" t="n">
        <f aca="false">B71/F71-1</f>
        <v>-0.0813271050425199</v>
      </c>
    </row>
    <row r="72" customFormat="false" ht="15" hidden="false" customHeight="false" outlineLevel="0" collapsed="false">
      <c r="A72" s="7" t="s">
        <v>529</v>
      </c>
      <c r="B72" s="44" t="n">
        <v>75.84</v>
      </c>
      <c r="C72" s="44" t="n">
        <v>680.59</v>
      </c>
      <c r="D72" s="41" t="n">
        <f aca="false">B72/B71-1</f>
        <v>-0.0112125162972621</v>
      </c>
      <c r="E72" s="41" t="n">
        <f aca="false">C72/C71-1</f>
        <v>-0.00171614644449658</v>
      </c>
      <c r="F72" s="46" t="n">
        <f aca="false">MAX(F71,B72)</f>
        <v>83.49</v>
      </c>
      <c r="G72" s="41" t="n">
        <f aca="false">B72/F72-1</f>
        <v>-0.0916277398490837</v>
      </c>
    </row>
    <row r="73" customFormat="false" ht="15" hidden="false" customHeight="false" outlineLevel="0" collapsed="false">
      <c r="A73" s="7" t="s">
        <v>530</v>
      </c>
      <c r="B73" s="44" t="n">
        <v>71.95</v>
      </c>
      <c r="C73" s="44" t="n">
        <v>690.31</v>
      </c>
      <c r="D73" s="41" t="n">
        <f aca="false">B73/B72-1</f>
        <v>-0.051292194092827</v>
      </c>
      <c r="E73" s="41" t="n">
        <f aca="false">C73/C72-1</f>
        <v>0.0142817261493702</v>
      </c>
      <c r="F73" s="46" t="n">
        <f aca="false">MAX(F72,B73)</f>
        <v>83.49</v>
      </c>
      <c r="G73" s="41" t="n">
        <f aca="false">B73/F73-1</f>
        <v>-0.138220146125284</v>
      </c>
    </row>
    <row r="74" customFormat="false" ht="15" hidden="false" customHeight="false" outlineLevel="0" collapsed="false">
      <c r="A74" s="7" t="s">
        <v>531</v>
      </c>
      <c r="B74" s="44" t="n">
        <v>83.47</v>
      </c>
      <c r="C74" s="44" t="n">
        <v>683.17</v>
      </c>
      <c r="D74" s="41" t="n">
        <f aca="false">B74/B73-1</f>
        <v>0.160111188325226</v>
      </c>
      <c r="E74" s="41" t="n">
        <f aca="false">C74/C73-1</f>
        <v>-0.0103431791513957</v>
      </c>
      <c r="F74" s="46" t="n">
        <f aca="false">MAX(F73,B74)</f>
        <v>83.49</v>
      </c>
      <c r="G74" s="41" t="n">
        <f aca="false">B74/F74-1</f>
        <v>-0.000239549646664172</v>
      </c>
    </row>
    <row r="75" customFormat="false" ht="15" hidden="false" customHeight="false" outlineLevel="0" collapsed="false">
      <c r="A75" s="7" t="s">
        <v>532</v>
      </c>
      <c r="B75" s="44" t="n">
        <v>97.67</v>
      </c>
      <c r="C75" s="44" t="n">
        <v>694.07</v>
      </c>
      <c r="D75" s="41" t="n">
        <f aca="false">B75/B74-1</f>
        <v>0.170121001557446</v>
      </c>
      <c r="E75" s="41" t="n">
        <f aca="false">C75/C74-1</f>
        <v>0.0159550331542664</v>
      </c>
      <c r="F75" s="46" t="n">
        <f aca="false">MAX(F74,B75)</f>
        <v>97.67</v>
      </c>
      <c r="G75" s="41" t="n">
        <f aca="false">B75/F75-1</f>
        <v>0</v>
      </c>
    </row>
    <row r="76" customFormat="false" ht="15" hidden="false" customHeight="false" outlineLevel="0" collapsed="false">
      <c r="A76" s="7" t="s">
        <v>533</v>
      </c>
      <c r="B76" s="44" t="n">
        <v>115.77</v>
      </c>
      <c r="C76" s="44" t="n">
        <v>691.66</v>
      </c>
      <c r="D76" s="41" t="n">
        <f aca="false">B76/B75-1</f>
        <v>0.185317907238661</v>
      </c>
      <c r="E76" s="41" t="n">
        <f aca="false">C76/C75-1</f>
        <v>-0.00347227224919688</v>
      </c>
      <c r="F76" s="46" t="n">
        <f aca="false">MAX(F75,B76)</f>
        <v>115.77</v>
      </c>
      <c r="G76" s="41" t="n">
        <f aca="false">B76/F76-1</f>
        <v>0</v>
      </c>
    </row>
    <row r="77" customFormat="false" ht="15" hidden="false" customHeight="false" outlineLevel="0" collapsed="false">
      <c r="A77" s="7" t="s">
        <v>534</v>
      </c>
      <c r="B77" s="44" t="n">
        <v>113.57</v>
      </c>
      <c r="C77" s="44" t="n">
        <v>689.23</v>
      </c>
      <c r="D77" s="41" t="n">
        <f aca="false">B77/B76-1</f>
        <v>-0.0190031959920532</v>
      </c>
      <c r="E77" s="41" t="n">
        <f aca="false">C77/C76-1</f>
        <v>-0.00351328687505414</v>
      </c>
      <c r="F77" s="46" t="n">
        <f aca="false">MAX(F76,B77)</f>
        <v>115.77</v>
      </c>
      <c r="G77" s="41" t="n">
        <f aca="false">B77/F77-1</f>
        <v>-0.0190031959920532</v>
      </c>
    </row>
    <row r="78" customFormat="false" ht="15" hidden="false" customHeight="false" outlineLevel="0" collapsed="false">
      <c r="A78" s="7" t="s">
        <v>535</v>
      </c>
      <c r="B78" s="44" t="n">
        <v>111.21</v>
      </c>
      <c r="C78" s="44" t="n">
        <v>691.97</v>
      </c>
      <c r="D78" s="41" t="n">
        <f aca="false">B78/B77-1</f>
        <v>-0.0207801355991899</v>
      </c>
      <c r="E78" s="41" t="n">
        <f aca="false">C78/C77-1</f>
        <v>0.00397545086545859</v>
      </c>
      <c r="F78" s="46" t="n">
        <f aca="false">MAX(F77,B78)</f>
        <v>115.77</v>
      </c>
      <c r="G78" s="41" t="n">
        <f aca="false">B78/F78-1</f>
        <v>-0.0393884426017103</v>
      </c>
    </row>
    <row r="79" customFormat="false" ht="15" hidden="false" customHeight="false" outlineLevel="0" collapsed="false">
      <c r="A79" s="7" t="s">
        <v>536</v>
      </c>
      <c r="B79" s="44" t="n">
        <v>101.79</v>
      </c>
      <c r="C79" s="44" t="n">
        <v>690.62</v>
      </c>
      <c r="D79" s="41" t="n">
        <f aca="false">B79/B78-1</f>
        <v>-0.0847046128945238</v>
      </c>
      <c r="E79" s="41" t="n">
        <f aca="false">C79/C78-1</f>
        <v>-0.00195095163085113</v>
      </c>
      <c r="F79" s="46" t="n">
        <f aca="false">MAX(F78,B79)</f>
        <v>115.77</v>
      </c>
      <c r="G79" s="41" t="n">
        <f aca="false">B79/F79-1</f>
        <v>-0.120756672713138</v>
      </c>
    </row>
    <row r="80" customFormat="false" ht="15" hidden="false" customHeight="false" outlineLevel="0" collapsed="false">
      <c r="A80" s="7" t="s">
        <v>537</v>
      </c>
      <c r="B80" s="44" t="n">
        <v>82.51</v>
      </c>
      <c r="C80" s="44" t="n">
        <v>681.75</v>
      </c>
      <c r="D80" s="41" t="n">
        <f aca="false">B80/B79-1</f>
        <v>-0.189409568719914</v>
      </c>
      <c r="E80" s="41" t="n">
        <f aca="false">C80/C79-1</f>
        <v>-0.0128435318988734</v>
      </c>
      <c r="F80" s="46" t="n">
        <f aca="false">MAX(F79,B80)</f>
        <v>115.77</v>
      </c>
      <c r="G80" s="41" t="n">
        <f aca="false">B80/F80-1</f>
        <v>-0.287293772134404</v>
      </c>
    </row>
    <row r="81" customFormat="false" ht="15" hidden="false" customHeight="false" outlineLevel="0" collapsed="false">
      <c r="A81" s="7" t="s">
        <v>538</v>
      </c>
      <c r="B81" s="44" t="n">
        <v>80.2</v>
      </c>
      <c r="C81" s="44" t="n">
        <v>689.43</v>
      </c>
      <c r="D81" s="41" t="n">
        <f aca="false">B81/B80-1</f>
        <v>-0.0279966064719428</v>
      </c>
      <c r="E81" s="41" t="n">
        <f aca="false">C81/C80-1</f>
        <v>0.0112651265126511</v>
      </c>
      <c r="F81" s="46" t="n">
        <f aca="false">MAX(F80,B81)</f>
        <v>115.77</v>
      </c>
      <c r="G81" s="41" t="n">
        <f aca="false">B81/F81-1</f>
        <v>-0.30724712792606</v>
      </c>
    </row>
    <row r="82" customFormat="false" ht="15" hidden="false" customHeight="false" outlineLevel="0" collapsed="false">
      <c r="A82" s="7" t="s">
        <v>539</v>
      </c>
      <c r="B82" s="44" t="n">
        <v>79.19</v>
      </c>
      <c r="C82" s="44" t="n">
        <v>685.99</v>
      </c>
      <c r="D82" s="41" t="n">
        <f aca="false">B82/B81-1</f>
        <v>-0.0125935162094764</v>
      </c>
      <c r="E82" s="41" t="n">
        <f aca="false">C82/C81-1</f>
        <v>-0.00498962911390566</v>
      </c>
      <c r="F82" s="46" t="n">
        <f aca="false">MAX(F81,B82)</f>
        <v>115.77</v>
      </c>
      <c r="G82" s="41" t="n">
        <f aca="false">B82/F82-1</f>
        <v>-0.315971322449685</v>
      </c>
    </row>
    <row r="83" customFormat="false" ht="15" hidden="false" customHeight="false" outlineLevel="0" collapsed="false">
      <c r="A83" s="7" t="s">
        <v>540</v>
      </c>
      <c r="B83" s="44" t="n">
        <v>89.475</v>
      </c>
      <c r="C83" s="44" t="n">
        <v>672.38</v>
      </c>
      <c r="D83" s="41" t="n">
        <f aca="false">B83/B82-1</f>
        <v>0.129877509786589</v>
      </c>
      <c r="E83" s="41" t="n">
        <f aca="false">C83/C82-1</f>
        <v>-0.0198399393577166</v>
      </c>
      <c r="F83" s="46" t="n">
        <f aca="false">MAX(F82,B83)</f>
        <v>115.77</v>
      </c>
      <c r="G83" s="41" t="n">
        <f aca="false">B83/F83-1</f>
        <v>-0.227131381186836</v>
      </c>
    </row>
    <row r="84" customFormat="false" ht="15" hidden="false" customHeight="false" outlineLevel="0" collapsed="false">
      <c r="A84" s="7" t="s">
        <v>541</v>
      </c>
      <c r="B84" s="44" t="n">
        <v>86.34</v>
      </c>
      <c r="C84" s="44" t="n">
        <v>662.29</v>
      </c>
      <c r="D84" s="41" t="n">
        <f aca="false">B84/B83-1</f>
        <v>-0.0350377200335288</v>
      </c>
      <c r="E84" s="41" t="n">
        <f aca="false">C84/C83-1</f>
        <v>-0.0150063951931944</v>
      </c>
      <c r="F84" s="46" t="n">
        <f aca="false">MAX(F83,B84)</f>
        <v>115.77</v>
      </c>
      <c r="G84" s="41" t="n">
        <f aca="false">B84/F84-1</f>
        <v>-0.254210935475512</v>
      </c>
    </row>
    <row r="85" customFormat="false" ht="15" hidden="false" customHeight="false" outlineLevel="0" collapsed="false">
      <c r="A85" s="7" t="s">
        <v>542</v>
      </c>
      <c r="B85" s="44" t="n">
        <v>89.93</v>
      </c>
      <c r="C85" s="44" t="n">
        <v>648.57</v>
      </c>
      <c r="D85" s="41" t="n">
        <f aca="false">B85/B84-1</f>
        <v>0.0415798007875841</v>
      </c>
      <c r="E85" s="41" t="n">
        <f aca="false">C85/C84-1</f>
        <v>-0.0207160005435684</v>
      </c>
      <c r="F85" s="46" t="n">
        <f aca="false">MAX(F84,B85)</f>
        <v>115.77</v>
      </c>
      <c r="G85" s="41" t="n">
        <f aca="false">B85/F85-1</f>
        <v>-0.223201174743025</v>
      </c>
    </row>
    <row r="86" customFormat="false" ht="15" hidden="false" customHeight="false" outlineLevel="0" collapsed="false">
      <c r="A86" s="7" t="s">
        <v>543</v>
      </c>
      <c r="B86" s="44" t="n">
        <v>78.67</v>
      </c>
      <c r="C86" s="44" t="n">
        <v>634.09</v>
      </c>
      <c r="D86" s="41" t="n">
        <f aca="false">B86/B85-1</f>
        <v>-0.125208495496497</v>
      </c>
      <c r="E86" s="41" t="n">
        <f aca="false">C86/C85-1</f>
        <v>-0.0223260403657277</v>
      </c>
      <c r="F86" s="46" t="n">
        <f aca="false">MAX(F85,B86)</f>
        <v>115.77</v>
      </c>
      <c r="G86" s="41" t="n">
        <f aca="false">B86/F86-1</f>
        <v>-0.320462986956897</v>
      </c>
    </row>
    <row r="87" customFormat="false" ht="15" hidden="false" customHeight="false" outlineLevel="0" collapsed="false">
      <c r="A87" s="7" t="s">
        <v>544</v>
      </c>
      <c r="B87" s="44" t="n">
        <v>92.62</v>
      </c>
      <c r="C87" s="44" t="n">
        <v>655.83</v>
      </c>
      <c r="D87" s="41" t="n">
        <f aca="false">B87/B86-1</f>
        <v>0.177322994788357</v>
      </c>
      <c r="E87" s="41" t="n">
        <f aca="false">C87/C86-1</f>
        <v>0.0342853538141275</v>
      </c>
      <c r="F87" s="46" t="n">
        <f aca="false">MAX(F86,B87)</f>
        <v>115.77</v>
      </c>
      <c r="G87" s="41" t="n">
        <f aca="false">B87/F87-1</f>
        <v>-0.19996544873456</v>
      </c>
    </row>
    <row r="88" customFormat="false" ht="15" hidden="false" customHeight="false" outlineLevel="0" collapsed="false">
      <c r="A88" s="7" t="s">
        <v>545</v>
      </c>
      <c r="B88" s="44" t="n">
        <v>94.9</v>
      </c>
      <c r="C88" s="44" t="n">
        <v>679.46</v>
      </c>
      <c r="D88" s="41" t="n">
        <f aca="false">B88/B87-1</f>
        <v>0.0246167134528179</v>
      </c>
      <c r="E88" s="41" t="n">
        <f aca="false">C88/C87-1</f>
        <v>0.0360306786819755</v>
      </c>
      <c r="F88" s="46" t="n">
        <f aca="false">MAX(F87,B88)</f>
        <v>115.77</v>
      </c>
      <c r="G88" s="41" t="n">
        <f aca="false">B88/F88-1</f>
        <v>-0.180271227433705</v>
      </c>
    </row>
    <row r="89" customFormat="false" ht="15" hidden="false" customHeight="false" outlineLevel="0" collapsed="false">
      <c r="A89" s="7" t="s">
        <v>546</v>
      </c>
      <c r="B89" s="44" t="n">
        <v>85.53</v>
      </c>
      <c r="C89" s="44" t="n">
        <v>710.14</v>
      </c>
      <c r="D89" s="41" t="n">
        <f aca="false">B89/B88-1</f>
        <v>-0.0987355110642783</v>
      </c>
      <c r="E89" s="41" t="n">
        <f aca="false">C89/C88-1</f>
        <v>0.0451535042533775</v>
      </c>
      <c r="F89" s="46" t="n">
        <f aca="false">MAX(F88,B89)</f>
        <v>115.77</v>
      </c>
      <c r="G89" s="41" t="n">
        <f aca="false">B89/F89-1</f>
        <v>-0.261207566727131</v>
      </c>
    </row>
    <row r="90" customFormat="false" ht="15" hidden="false" customHeight="false" outlineLevel="0" collapsed="false">
      <c r="A90" s="7" t="s">
        <v>547</v>
      </c>
      <c r="B90" s="44" t="n">
        <v>76.4</v>
      </c>
      <c r="C90" s="44" t="n">
        <v>713.94</v>
      </c>
      <c r="D90" s="41" t="n">
        <f aca="false">B90/B89-1</f>
        <v>-0.106746170934175</v>
      </c>
      <c r="E90" s="41" t="n">
        <f aca="false">C90/C89-1</f>
        <v>0.00535105753795029</v>
      </c>
      <c r="F90" s="46" t="n">
        <f aca="false">MAX(F89,B90)</f>
        <v>115.77</v>
      </c>
      <c r="G90" s="41" t="n">
        <f aca="false">B90/F90-1</f>
        <v>-0.340070830094152</v>
      </c>
    </row>
    <row r="91" customFormat="false" ht="15" hidden="false" customHeight="false" outlineLevel="0" collapsed="false">
      <c r="A91" s="7" t="s">
        <v>548</v>
      </c>
      <c r="B91" s="44" t="n">
        <v>70.89</v>
      </c>
      <c r="C91" s="44" t="n">
        <v>720.65</v>
      </c>
      <c r="D91" s="41" t="n">
        <f aca="false">B91/B90-1</f>
        <v>-0.0721204188481676</v>
      </c>
      <c r="E91" s="41" t="n">
        <f aca="false">C91/C90-1</f>
        <v>0.00939854889766645</v>
      </c>
      <c r="F91" s="46" t="n">
        <f aca="false">MAX(F90,B91)</f>
        <v>115.77</v>
      </c>
      <c r="G91" s="41" t="n">
        <f aca="false">B91/F91-1</f>
        <v>-0.387665198237886</v>
      </c>
    </row>
    <row r="92" customFormat="false" ht="15" hidden="false" customHeight="false" outlineLevel="0" collapsed="false">
      <c r="A92" s="7" t="s">
        <v>549</v>
      </c>
      <c r="B92" s="44" t="n">
        <v>75.05</v>
      </c>
      <c r="C92" s="44" t="n">
        <v>737.62</v>
      </c>
      <c r="D92" s="41" t="n">
        <f aca="false">B92/B91-1</f>
        <v>0.0586824657920722</v>
      </c>
      <c r="E92" s="41" t="n">
        <f aca="false">C92/C91-1</f>
        <v>0.0235481856657185</v>
      </c>
      <c r="F92" s="46" t="n">
        <f aca="false">MAX(F91,B92)</f>
        <v>115.77</v>
      </c>
      <c r="G92" s="41" t="n">
        <f aca="false">B92/F92-1</f>
        <v>-0.351731882180185</v>
      </c>
    </row>
    <row r="93" customFormat="false" ht="15" hidden="false" customHeight="false" outlineLevel="0" collapsed="false">
      <c r="A93" s="7" t="s">
        <v>550</v>
      </c>
      <c r="B93" s="44" t="n">
        <v>83.67</v>
      </c>
      <c r="C93" s="44" t="n">
        <v>739.17</v>
      </c>
      <c r="D93" s="41" t="n">
        <f aca="false">B93/B92-1</f>
        <v>0.114856762158561</v>
      </c>
      <c r="E93" s="41" t="n">
        <f aca="false">C93/C92-1</f>
        <v>0.00210135300018965</v>
      </c>
      <c r="F93" s="46" t="n">
        <f aca="false">MAX(F92,B93)</f>
        <v>115.77</v>
      </c>
      <c r="G93" s="41" t="n">
        <f aca="false">B93/F93-1</f>
        <v>-0.277273905156776</v>
      </c>
    </row>
    <row r="94" customFormat="false" ht="15" hidden="false" customHeight="false" outlineLevel="0" collapsed="false">
      <c r="A94" s="7" t="s">
        <v>551</v>
      </c>
      <c r="B94" s="44" t="n">
        <v>105.86</v>
      </c>
      <c r="C94" s="44" t="n">
        <v>745.64</v>
      </c>
      <c r="D94" s="41" t="n">
        <f aca="false">B94/B93-1</f>
        <v>0.265208557427991</v>
      </c>
      <c r="E94" s="41" t="n">
        <f aca="false">C94/C93-1</f>
        <v>0.00875306086556549</v>
      </c>
      <c r="F94" s="46" t="n">
        <f aca="false">MAX(F93,B94)</f>
        <v>115.77</v>
      </c>
      <c r="G94" s="41" t="n">
        <f aca="false">B94/F94-1</f>
        <v>-0.0856007601278397</v>
      </c>
    </row>
    <row r="95" customFormat="false" ht="15" hidden="false" customHeight="false" outlineLevel="0" collapsed="false">
      <c r="A95" s="7" t="s">
        <v>552</v>
      </c>
      <c r="B95" s="44" t="n">
        <v>113.41</v>
      </c>
      <c r="C95" s="44" t="n">
        <v>756.48</v>
      </c>
      <c r="D95" s="41" t="n">
        <f aca="false">B95/B94-1</f>
        <v>0.0713206121292274</v>
      </c>
      <c r="E95" s="41" t="n">
        <f aca="false">C95/C94-1</f>
        <v>0.0145378466820449</v>
      </c>
      <c r="F95" s="46" t="n">
        <f aca="false">MAX(F94,B95)</f>
        <v>115.77</v>
      </c>
      <c r="G95" s="41" t="n">
        <f aca="false">B95/F95-1</f>
        <v>-0.0203852466096571</v>
      </c>
    </row>
    <row r="96" customFormat="false" ht="15" hidden="false" customHeight="false" outlineLevel="0" collapsed="false">
      <c r="A96" s="7" t="s">
        <v>553</v>
      </c>
      <c r="B96" s="44" t="n">
        <v>93.6</v>
      </c>
      <c r="C96" s="44" t="n">
        <v>737.55</v>
      </c>
      <c r="D96" s="41" t="n">
        <f aca="false">B96/B95-1</f>
        <v>-0.174675954501367</v>
      </c>
      <c r="E96" s="41" t="n">
        <f aca="false">C96/C95-1</f>
        <v>-0.0250237944162437</v>
      </c>
      <c r="F96" s="46" t="n">
        <f aca="false">MAX(F95,B96)</f>
        <v>115.77</v>
      </c>
      <c r="G96" s="41" t="n">
        <f aca="false">B96/F96-1</f>
        <v>-0.191500388701736</v>
      </c>
    </row>
    <row r="97" customFormat="false" ht="15" hidden="false" customHeight="false" outlineLevel="0" collapsed="false">
      <c r="A97" s="7" t="s">
        <v>554</v>
      </c>
      <c r="B97" s="44" t="n">
        <v>82.41</v>
      </c>
      <c r="C97" s="44" t="n">
        <v>741.75</v>
      </c>
      <c r="D97" s="41" t="n">
        <f aca="false">B97/B96-1</f>
        <v>-0.119551282051282</v>
      </c>
      <c r="E97" s="41" t="n">
        <f aca="false">C97/C96-1</f>
        <v>0.00569452918446212</v>
      </c>
      <c r="F97" s="46" t="n">
        <f aca="false">MAX(F96,B97)</f>
        <v>115.77</v>
      </c>
      <c r="G97" s="41" t="n">
        <f aca="false">B97/F97-1</f>
        <v>-0.288157553770407</v>
      </c>
    </row>
    <row r="98" customFormat="false" ht="15" hidden="false" customHeight="false" outlineLevel="0" collapsed="false">
      <c r="A98" s="7" t="s">
        <v>555</v>
      </c>
      <c r="B98" s="44" t="n">
        <v>80.66</v>
      </c>
      <c r="C98" s="44" t="n">
        <v>746.74</v>
      </c>
      <c r="D98" s="41" t="n">
        <f aca="false">B98/B97-1</f>
        <v>-0.0212352869797354</v>
      </c>
      <c r="E98" s="41" t="n">
        <f aca="false">C98/C97-1</f>
        <v>0.00672733400741499</v>
      </c>
      <c r="F98" s="46" t="n">
        <f aca="false">MAX(F97,B98)</f>
        <v>115.77</v>
      </c>
      <c r="G98" s="41" t="n">
        <f aca="false">B98/F98-1</f>
        <v>-0.303273732400449</v>
      </c>
    </row>
    <row r="99" customFormat="false" ht="15" hidden="false" customHeight="false" outlineLevel="0" collapsed="false">
      <c r="A99" s="7" t="s">
        <v>556</v>
      </c>
      <c r="B99" s="44" t="n">
        <v>71.45</v>
      </c>
      <c r="C99" s="44" t="n">
        <v>728.99</v>
      </c>
      <c r="D99" s="41" t="n">
        <f aca="false">B99/B98-1</f>
        <v>-0.114182990329779</v>
      </c>
      <c r="E99" s="41" t="n">
        <f aca="false">C99/C98-1</f>
        <v>-0.023769986876289</v>
      </c>
      <c r="F99" s="46" t="n">
        <f aca="false">MAX(F98,B99)</f>
        <v>115.77</v>
      </c>
      <c r="G99" s="41" t="n">
        <f aca="false">B99/F99-1</f>
        <v>-0.382828021076272</v>
      </c>
    </row>
    <row r="100" customFormat="false" ht="15" hidden="false" customHeight="false" outlineLevel="0" collapsed="false">
      <c r="A100" s="7" t="s">
        <v>557</v>
      </c>
      <c r="B100" s="44" t="n">
        <v>85.13</v>
      </c>
      <c r="C100" s="44" t="n">
        <v>744.78</v>
      </c>
      <c r="D100" s="41" t="n">
        <f aca="false">B100/B99-1</f>
        <v>0.19146256123163</v>
      </c>
      <c r="E100" s="41" t="n">
        <f aca="false">C100/C99-1</f>
        <v>0.0216601050768872</v>
      </c>
      <c r="F100" s="46" t="n">
        <f aca="false">MAX(F99,B100)</f>
        <v>115.77</v>
      </c>
      <c r="G100" s="41" t="n">
        <f aca="false">B100/F100-1</f>
        <v>-0.264662693271141</v>
      </c>
    </row>
    <row r="101" customFormat="false" ht="15" hidden="false" customHeight="false" outlineLevel="0" collapsed="false">
      <c r="A101" s="7" t="s">
        <v>558</v>
      </c>
      <c r="B101" s="44" t="n">
        <v>73.32</v>
      </c>
      <c r="C101" s="44" t="n">
        <v>754.95</v>
      </c>
      <c r="D101" s="41" t="n">
        <f aca="false">B101/B100-1</f>
        <v>-0.13872900270175</v>
      </c>
      <c r="E101" s="41" t="n">
        <f aca="false">C101/C100-1</f>
        <v>0.0136550390719408</v>
      </c>
      <c r="F101" s="46" t="n">
        <f aca="false">MAX(F100,B101)</f>
        <v>115.77</v>
      </c>
      <c r="G101" s="41" t="n">
        <f aca="false">B101/F101-1</f>
        <v>-0.366675304483027</v>
      </c>
    </row>
    <row r="102" customFormat="false" ht="15" hidden="false" customHeight="false" outlineLevel="0" collapsed="false">
      <c r="A102" s="7" t="s">
        <v>559</v>
      </c>
      <c r="B102" s="44" t="n">
        <v>57.8</v>
      </c>
      <c r="C102" s="44" t="n">
        <v>743.29</v>
      </c>
      <c r="D102" s="41" t="n">
        <f aca="false">B102/B101-1</f>
        <v>-0.211674849972722</v>
      </c>
      <c r="E102" s="41" t="n">
        <f aca="false">C102/C101-1</f>
        <v>-0.0154447314391682</v>
      </c>
      <c r="F102" s="46" t="n">
        <f aca="false">MAX(F101,B102)</f>
        <v>115.77</v>
      </c>
      <c r="G102" s="41" t="n">
        <f aca="false">B102/F102-1</f>
        <v>-0.500734214390602</v>
      </c>
    </row>
    <row r="103" customFormat="false" ht="15" hidden="false" customHeight="false" outlineLevel="0" collapsed="false">
      <c r="A103" s="7" t="s">
        <v>560</v>
      </c>
      <c r="B103" s="44" t="n">
        <v>56.2</v>
      </c>
      <c r="C103" s="44" t="n">
        <v>738.93</v>
      </c>
      <c r="D103" s="41" t="n">
        <f aca="false">B103/B102-1</f>
        <v>-0.0276816608996538</v>
      </c>
      <c r="E103" s="41" t="n">
        <f aca="false">C103/C102-1</f>
        <v>-0.0058658128052308</v>
      </c>
      <c r="F103" s="46" t="n">
        <f aca="false">MAX(F102,B103)</f>
        <v>115.77</v>
      </c>
      <c r="G103" s="41" t="n">
        <f aca="false">B103/F103-1</f>
        <v>-0.514554720566641</v>
      </c>
    </row>
    <row r="104" customFormat="false" ht="15" hidden="false" customHeight="false" outlineLevel="0" collapsed="false">
      <c r="A104" s="7" t="s">
        <v>561</v>
      </c>
      <c r="B104" s="44" t="n">
        <v>58.98</v>
      </c>
      <c r="C104" s="44" t="n">
        <v>747.03</v>
      </c>
      <c r="D104" s="41" t="n">
        <f aca="false">B104/B103-1</f>
        <v>0.0494661921708184</v>
      </c>
      <c r="E104" s="41" t="n">
        <f aca="false">C104/C103-1</f>
        <v>0.0109617961105923</v>
      </c>
      <c r="F104" s="46" t="n">
        <f aca="false">MAX(F103,B104)</f>
        <v>115.77</v>
      </c>
      <c r="G104" s="41" t="n">
        <f aca="false">B104/F104-1</f>
        <v>-0.490541591085774</v>
      </c>
    </row>
    <row r="105" customFormat="false" ht="15" hidden="false" customHeight="false" outlineLevel="0" collapsed="false">
      <c r="A105" s="7" t="s">
        <v>562</v>
      </c>
      <c r="B105" s="44" t="n">
        <v>71.94</v>
      </c>
      <c r="C105" s="44" t="n">
        <v>773.26</v>
      </c>
      <c r="D105" s="41" t="n">
        <f aca="false">B105/B104-1</f>
        <v>0.219735503560529</v>
      </c>
      <c r="E105" s="41" t="n">
        <f aca="false">C105/C104-1</f>
        <v>0.0351123783516056</v>
      </c>
      <c r="F105" s="46" t="n">
        <f aca="false">MAX(F104,B105)</f>
        <v>115.77</v>
      </c>
      <c r="G105" s="41" t="n">
        <f aca="false">B105/F105-1</f>
        <v>-0.37859549105986</v>
      </c>
    </row>
    <row r="106" customFormat="false" ht="15" hidden="false" customHeight="false" outlineLevel="0" collapsed="false">
      <c r="A106" s="7" t="s">
        <v>563</v>
      </c>
      <c r="B106" s="44" t="n">
        <v>70.98</v>
      </c>
      <c r="C106" s="44" t="n">
        <v>776.34</v>
      </c>
      <c r="D106" s="41" t="n">
        <f aca="false">B106/B105-1</f>
        <v>-0.0133444537114261</v>
      </c>
      <c r="E106" s="41" t="n">
        <f aca="false">C106/C105-1</f>
        <v>0.00398313633189362</v>
      </c>
      <c r="F106" s="46" t="n">
        <f aca="false">MAX(F105,B106)</f>
        <v>115.77</v>
      </c>
      <c r="G106" s="41" t="n">
        <f aca="false">B106/F106-1</f>
        <v>-0.386887794765483</v>
      </c>
    </row>
    <row r="107" customFormat="false" ht="15" hidden="false" customHeight="false" outlineLevel="0" collapsed="false">
      <c r="A107" s="7" t="s">
        <v>564</v>
      </c>
      <c r="B107" s="44" t="n">
        <v>68.65</v>
      </c>
      <c r="C107" s="44" t="n">
        <v>765.72</v>
      </c>
      <c r="D107" s="41" t="n">
        <f aca="false">B107/B106-1</f>
        <v>-0.0328261482107636</v>
      </c>
      <c r="E107" s="41" t="n">
        <f aca="false">C107/C106-1</f>
        <v>-0.0136795733827962</v>
      </c>
      <c r="F107" s="46" t="n">
        <f aca="false">MAX(F106,B107)</f>
        <v>115.77</v>
      </c>
      <c r="G107" s="41" t="n">
        <f aca="false">B107/F107-1</f>
        <v>-0.40701390688434</v>
      </c>
    </row>
    <row r="108" customFormat="false" ht="15" hidden="false" customHeight="false" outlineLevel="0" collapsed="false">
      <c r="A108" s="7" t="s">
        <v>565</v>
      </c>
      <c r="B108" s="44" t="n">
        <v>58.05</v>
      </c>
      <c r="C108" s="44" t="n">
        <v>769.35</v>
      </c>
      <c r="D108" s="41" t="n">
        <f aca="false">B108/B107-1</f>
        <v>-0.154406409322651</v>
      </c>
      <c r="E108" s="41" t="n">
        <f aca="false">C108/C107-1</f>
        <v>0.00474063626390842</v>
      </c>
      <c r="F108" s="46" t="n">
        <f aca="false">MAX(F107,B108)</f>
        <v>115.77</v>
      </c>
      <c r="G108" s="41" t="n">
        <f aca="false">B108/F108-1</f>
        <v>-0.498574760300596</v>
      </c>
    </row>
    <row r="109" customFormat="false" ht="15" hidden="false" customHeight="false" outlineLevel="0" collapsed="false">
      <c r="A109" s="7" t="s">
        <v>566</v>
      </c>
      <c r="B109" s="44" t="n">
        <v>62.31</v>
      </c>
      <c r="C109" s="44" t="n">
        <v>770.19</v>
      </c>
      <c r="D109" s="41" t="n">
        <f aca="false">B109/B108-1</f>
        <v>0.0733850129198967</v>
      </c>
      <c r="E109" s="41" t="n">
        <f aca="false">C109/C108-1</f>
        <v>0.00109183076623132</v>
      </c>
      <c r="F109" s="46" t="n">
        <f aca="false">MAX(F108,B109)</f>
        <v>115.77</v>
      </c>
      <c r="G109" s="41" t="n">
        <f aca="false">B109/F109-1</f>
        <v>-0.461777662606893</v>
      </c>
    </row>
    <row r="110" customFormat="false" ht="15" hidden="false" customHeight="false" outlineLevel="0" collapsed="false">
      <c r="A110" s="7" t="s">
        <v>567</v>
      </c>
      <c r="B110" s="44" t="n">
        <v>62.42</v>
      </c>
      <c r="C110" s="44" t="n">
        <v>762.4</v>
      </c>
      <c r="D110" s="41" t="n">
        <f aca="false">B110/B109-1</f>
        <v>0.00176536671481298</v>
      </c>
      <c r="E110" s="41" t="n">
        <f aca="false">C110/C109-1</f>
        <v>-0.0101143873589634</v>
      </c>
      <c r="F110" s="46" t="n">
        <f aca="false">MAX(F109,B110)</f>
        <v>115.77</v>
      </c>
      <c r="G110" s="41" t="n">
        <f aca="false">B110/F110-1</f>
        <v>-0.46082750280729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19" min="4" style="0" width="10"/>
  </cols>
  <sheetData>
    <row r="1" customFormat="false" ht="17.35" hidden="false" customHeight="false" outlineLevel="0" collapsed="false">
      <c r="A1" s="1" t="s">
        <v>568</v>
      </c>
    </row>
    <row r="2" customFormat="false" ht="15" hidden="false" customHeight="false" outlineLevel="0" collapsed="false">
      <c r="A2" s="2" t="s">
        <v>569</v>
      </c>
    </row>
    <row r="5" customFormat="false" ht="15" hidden="false" customHeight="false" outlineLevel="0" collapsed="false">
      <c r="A5" s="7" t="s">
        <v>415</v>
      </c>
      <c r="B5" s="17"/>
      <c r="D5" s="3" t="s">
        <v>416</v>
      </c>
      <c r="E5" s="3" t="s">
        <v>417</v>
      </c>
      <c r="F5" s="3" t="s">
        <v>418</v>
      </c>
      <c r="G5" s="3" t="s">
        <v>419</v>
      </c>
      <c r="H5" s="3" t="s">
        <v>420</v>
      </c>
      <c r="I5" s="3" t="s">
        <v>421</v>
      </c>
      <c r="J5" s="3" t="s">
        <v>422</v>
      </c>
      <c r="K5" s="3" t="s">
        <v>423</v>
      </c>
      <c r="L5" s="3" t="s">
        <v>424</v>
      </c>
      <c r="M5" s="3" t="s">
        <v>425</v>
      </c>
      <c r="N5" s="3" t="s">
        <v>426</v>
      </c>
      <c r="O5" s="3" t="s">
        <v>427</v>
      </c>
      <c r="P5" s="3" t="s">
        <v>428</v>
      </c>
      <c r="Q5" s="3" t="s">
        <v>429</v>
      </c>
      <c r="R5" s="3" t="s">
        <v>430</v>
      </c>
      <c r="S5" s="3" t="s">
        <v>570</v>
      </c>
    </row>
    <row r="6" customFormat="false" ht="15" hidden="false" customHeight="false" outlineLevel="0" collapsed="false">
      <c r="A6" s="7" t="s">
        <v>571</v>
      </c>
      <c r="B6" s="17" t="s">
        <v>64</v>
      </c>
      <c r="D6" s="25" t="n">
        <v>2026</v>
      </c>
      <c r="E6" s="25" t="n">
        <v>2027</v>
      </c>
      <c r="F6" s="25" t="n">
        <v>2028</v>
      </c>
      <c r="G6" s="25" t="n">
        <v>2029</v>
      </c>
      <c r="H6" s="25" t="n">
        <v>2030</v>
      </c>
      <c r="I6" s="25" t="n">
        <v>2031</v>
      </c>
      <c r="J6" s="25" t="n">
        <v>2032</v>
      </c>
      <c r="K6" s="25" t="n">
        <v>2033</v>
      </c>
      <c r="L6" s="25" t="n">
        <v>2034</v>
      </c>
      <c r="M6" s="25" t="n">
        <v>2035</v>
      </c>
      <c r="N6" s="25" t="n">
        <v>2036</v>
      </c>
      <c r="O6" s="25" t="n">
        <v>2037</v>
      </c>
      <c r="P6" s="25" t="n">
        <v>2038</v>
      </c>
      <c r="Q6" s="25" t="n">
        <v>2039</v>
      </c>
      <c r="R6" s="25" t="n">
        <v>2040</v>
      </c>
      <c r="S6" s="0" t="n">
        <v>2041</v>
      </c>
    </row>
    <row r="7" customFormat="false" ht="15" hidden="false" customHeight="false" outlineLevel="0" collapsed="false">
      <c r="A7" s="7" t="s">
        <v>572</v>
      </c>
      <c r="B7" s="17" t="s">
        <v>127</v>
      </c>
      <c r="D7" s="34" t="n">
        <v>0.5</v>
      </c>
      <c r="E7" s="34" t="n">
        <v>1</v>
      </c>
      <c r="F7" s="34" t="n">
        <v>1</v>
      </c>
      <c r="G7" s="34" t="n">
        <v>1</v>
      </c>
      <c r="H7" s="34" t="n">
        <v>1</v>
      </c>
      <c r="I7" s="34" t="n">
        <v>1</v>
      </c>
      <c r="J7" s="34" t="n">
        <v>1</v>
      </c>
      <c r="K7" s="34" t="n">
        <v>1</v>
      </c>
      <c r="L7" s="34" t="n">
        <v>1</v>
      </c>
      <c r="M7" s="34" t="n">
        <v>1</v>
      </c>
      <c r="N7" s="34" t="n">
        <v>1</v>
      </c>
      <c r="O7" s="34" t="n">
        <v>1</v>
      </c>
      <c r="P7" s="34" t="n">
        <v>1</v>
      </c>
      <c r="Q7" s="34" t="n">
        <v>1</v>
      </c>
      <c r="R7" s="34" t="n">
        <v>1</v>
      </c>
    </row>
    <row r="8" customFormat="false" ht="15" hidden="false" customHeight="false" outlineLevel="0" collapsed="false">
      <c r="A8" s="7" t="s">
        <v>573</v>
      </c>
      <c r="B8" s="17" t="s">
        <v>127</v>
      </c>
      <c r="D8" s="34" t="n">
        <v>2026.5</v>
      </c>
      <c r="E8" s="34" t="n">
        <v>2027</v>
      </c>
      <c r="F8" s="34" t="n">
        <v>2028</v>
      </c>
      <c r="G8" s="34" t="n">
        <v>2029</v>
      </c>
      <c r="H8" s="34" t="n">
        <v>2030</v>
      </c>
      <c r="I8" s="34" t="n">
        <v>2031</v>
      </c>
      <c r="J8" s="34" t="n">
        <v>2032</v>
      </c>
      <c r="K8" s="34" t="n">
        <v>2033</v>
      </c>
      <c r="L8" s="34" t="n">
        <v>2034</v>
      </c>
      <c r="M8" s="34" t="n">
        <v>2035</v>
      </c>
      <c r="N8" s="34" t="n">
        <v>2036</v>
      </c>
      <c r="O8" s="34" t="n">
        <v>2037</v>
      </c>
      <c r="P8" s="34" t="n">
        <v>2038</v>
      </c>
      <c r="Q8" s="34" t="n">
        <v>2039</v>
      </c>
      <c r="R8" s="34" t="n">
        <v>2040</v>
      </c>
    </row>
    <row r="9" customFormat="false" ht="15" hidden="false" customHeight="false" outlineLevel="0" collapsed="false">
      <c r="A9" s="7" t="s">
        <v>574</v>
      </c>
      <c r="B9" s="17" t="s">
        <v>127</v>
      </c>
      <c r="D9" s="51" t="n">
        <f aca="false">D8+D7/2</f>
        <v>2026.75</v>
      </c>
      <c r="E9" s="51" t="n">
        <f aca="false">E8+E7/2</f>
        <v>2027.5</v>
      </c>
      <c r="F9" s="51" t="n">
        <f aca="false">F8+F7/2</f>
        <v>2028.5</v>
      </c>
      <c r="G9" s="51" t="n">
        <f aca="false">G8+G7/2</f>
        <v>2029.5</v>
      </c>
      <c r="H9" s="51" t="n">
        <f aca="false">H8+H7/2</f>
        <v>2030.5</v>
      </c>
      <c r="I9" s="51" t="n">
        <f aca="false">I8+I7/2</f>
        <v>2031.5</v>
      </c>
      <c r="J9" s="51" t="n">
        <f aca="false">J8+J7/2</f>
        <v>2032.5</v>
      </c>
      <c r="K9" s="51" t="n">
        <f aca="false">K8+K7/2</f>
        <v>2033.5</v>
      </c>
      <c r="L9" s="51" t="n">
        <f aca="false">L8+L7/2</f>
        <v>2034.5</v>
      </c>
      <c r="M9" s="51" t="n">
        <f aca="false">M8+M7/2</f>
        <v>2035.5</v>
      </c>
      <c r="N9" s="51" t="n">
        <f aca="false">N8+N7/2</f>
        <v>2036.5</v>
      </c>
      <c r="O9" s="51" t="n">
        <f aca="false">O8+O7/2</f>
        <v>2037.5</v>
      </c>
      <c r="P9" s="51" t="n">
        <f aca="false">P8+P7/2</f>
        <v>2038.5</v>
      </c>
      <c r="Q9" s="51" t="n">
        <f aca="false">Q8+Q7/2</f>
        <v>2039.5</v>
      </c>
      <c r="R9" s="51" t="n">
        <f aca="false">R8+R7/2</f>
        <v>2040.5</v>
      </c>
    </row>
    <row r="10" customFormat="false" ht="15" hidden="false" customHeight="false" outlineLevel="0" collapsed="false">
      <c r="A10" s="5" t="s">
        <v>575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customFormat="false" ht="15" hidden="false" customHeight="false" outlineLevel="0" collapsed="false">
      <c r="A11" s="7" t="s">
        <v>576</v>
      </c>
      <c r="B11" s="17" t="s">
        <v>134</v>
      </c>
      <c r="D11" s="52" t="n">
        <f aca="false">IF(D$6=2026,Inputs!$F$59,IF(D$6=2027,Inputs!$F$60,IF(D$6=2028,Inputs!$F$61,IF(D$6=2029,Inputs!$F$62,Inputs!$F$63))))</f>
        <v>25</v>
      </c>
      <c r="E11" s="52" t="n">
        <f aca="false">IF(E$6=2026,Inputs!$F$59,IF(E$6=2027,Inputs!$F$60,IF(E$6=2028,Inputs!$F$61,IF(E$6=2029,Inputs!$F$62,Inputs!$F$63))))</f>
        <v>60</v>
      </c>
      <c r="F11" s="52" t="n">
        <f aca="false">IF(F$6=2026,Inputs!$F$59,IF(F$6=2027,Inputs!$F$60,IF(F$6=2028,Inputs!$F$61,IF(F$6=2029,Inputs!$F$62,Inputs!$F$63))))</f>
        <v>90</v>
      </c>
      <c r="G11" s="52" t="n">
        <f aca="false">IF(G$6=2026,Inputs!$F$59,IF(G$6=2027,Inputs!$F$60,IF(G$6=2028,Inputs!$F$61,IF(G$6=2029,Inputs!$F$62,Inputs!$F$63))))</f>
        <v>90</v>
      </c>
      <c r="H11" s="52" t="n">
        <f aca="false">IF(H$6=2026,Inputs!$F$59,IF(H$6=2027,Inputs!$F$60,IF(H$6=2028,Inputs!$F$61,IF(H$6=2029,Inputs!$F$62,Inputs!$F$63))))</f>
        <v>90</v>
      </c>
      <c r="I11" s="52" t="n">
        <f aca="false">IF(I$6=2026,Inputs!$F$59,IF(I$6=2027,Inputs!$F$60,IF(I$6=2028,Inputs!$F$61,IF(I$6=2029,Inputs!$F$62,Inputs!$F$63))))</f>
        <v>90</v>
      </c>
      <c r="J11" s="52" t="n">
        <f aca="false">IF(J$6=2026,Inputs!$F$59,IF(J$6=2027,Inputs!$F$60,IF(J$6=2028,Inputs!$F$61,IF(J$6=2029,Inputs!$F$62,Inputs!$F$63))))</f>
        <v>90</v>
      </c>
      <c r="K11" s="52" t="n">
        <f aca="false">IF(K$6=2026,Inputs!$F$59,IF(K$6=2027,Inputs!$F$60,IF(K$6=2028,Inputs!$F$61,IF(K$6=2029,Inputs!$F$62,Inputs!$F$63))))</f>
        <v>90</v>
      </c>
      <c r="L11" s="52" t="n">
        <f aca="false">IF(L$6=2026,Inputs!$F$59,IF(L$6=2027,Inputs!$F$60,IF(L$6=2028,Inputs!$F$61,IF(L$6=2029,Inputs!$F$62,Inputs!$F$63))))</f>
        <v>90</v>
      </c>
      <c r="M11" s="52" t="n">
        <f aca="false">IF(M$6=2026,Inputs!$F$59,IF(M$6=2027,Inputs!$F$60,IF(M$6=2028,Inputs!$F$61,IF(M$6=2029,Inputs!$F$62,Inputs!$F$63))))</f>
        <v>90</v>
      </c>
      <c r="N11" s="52" t="n">
        <f aca="false">IF(N$6=2026,Inputs!$F$59,IF(N$6=2027,Inputs!$F$60,IF(N$6=2028,Inputs!$F$61,IF(N$6=2029,Inputs!$F$62,Inputs!$F$63))))</f>
        <v>90</v>
      </c>
      <c r="O11" s="52" t="n">
        <f aca="false">IF(O$6=2026,Inputs!$F$59,IF(O$6=2027,Inputs!$F$60,IF(O$6=2028,Inputs!$F$61,IF(O$6=2029,Inputs!$F$62,Inputs!$F$63))))</f>
        <v>90</v>
      </c>
      <c r="P11" s="52" t="n">
        <f aca="false">IF(P$6=2026,Inputs!$F$59,IF(P$6=2027,Inputs!$F$60,IF(P$6=2028,Inputs!$F$61,IF(P$6=2029,Inputs!$F$62,Inputs!$F$63))))</f>
        <v>90</v>
      </c>
      <c r="Q11" s="52" t="n">
        <f aca="false">IF(Q$6=2026,Inputs!$F$59,IF(Q$6=2027,Inputs!$F$60,IF(Q$6=2028,Inputs!$F$61,IF(Q$6=2029,Inputs!$F$62,Inputs!$F$63))))</f>
        <v>90</v>
      </c>
      <c r="R11" s="52" t="n">
        <f aca="false">IF(R$6=2026,Inputs!$F$59,IF(R$6=2027,Inputs!$F$60,IF(R$6=2028,Inputs!$F$61,IF(R$6=2029,Inputs!$F$62,Inputs!$F$63))))</f>
        <v>90</v>
      </c>
    </row>
    <row r="12" customFormat="false" ht="15" hidden="false" customHeight="false" outlineLevel="0" collapsed="false">
      <c r="A12" s="7" t="s">
        <v>577</v>
      </c>
      <c r="B12" s="17" t="s">
        <v>134</v>
      </c>
      <c r="D12" s="52" t="n">
        <f aca="false">Inputs!$D$28</f>
        <v>4</v>
      </c>
      <c r="E12" s="50" t="n">
        <f aca="false">D15</f>
        <v>25</v>
      </c>
      <c r="F12" s="50" t="n">
        <f aca="false">E15</f>
        <v>60</v>
      </c>
      <c r="G12" s="50" t="n">
        <f aca="false">F15</f>
        <v>90</v>
      </c>
      <c r="H12" s="50" t="n">
        <f aca="false">G15</f>
        <v>90</v>
      </c>
      <c r="I12" s="50" t="n">
        <f aca="false">H15</f>
        <v>90</v>
      </c>
      <c r="J12" s="50" t="n">
        <f aca="false">I15</f>
        <v>90</v>
      </c>
      <c r="K12" s="50" t="n">
        <f aca="false">J15</f>
        <v>90</v>
      </c>
      <c r="L12" s="50" t="n">
        <f aca="false">K15</f>
        <v>90</v>
      </c>
      <c r="M12" s="50" t="n">
        <f aca="false">L15</f>
        <v>90</v>
      </c>
      <c r="N12" s="50" t="n">
        <f aca="false">M15</f>
        <v>90</v>
      </c>
      <c r="O12" s="50" t="n">
        <f aca="false">N15</f>
        <v>90</v>
      </c>
      <c r="P12" s="50" t="n">
        <f aca="false">O15</f>
        <v>90</v>
      </c>
      <c r="Q12" s="50" t="n">
        <f aca="false">P15</f>
        <v>90</v>
      </c>
      <c r="R12" s="50" t="n">
        <f aca="false">Q15</f>
        <v>90</v>
      </c>
    </row>
    <row r="13" customFormat="false" ht="15" hidden="false" customHeight="false" outlineLevel="0" collapsed="false">
      <c r="A13" s="7" t="s">
        <v>578</v>
      </c>
      <c r="B13" s="17" t="s">
        <v>134</v>
      </c>
      <c r="D13" s="50" t="n">
        <f aca="false">0</f>
        <v>0</v>
      </c>
      <c r="E13" s="50" t="n">
        <f aca="false">IF(E$6-ROUND(Inputs!$D$26,0)=2026,$D$14+Inputs!$D$28,IF(E$6-ROUND(Inputs!$D$26,0)&gt;=2027,INDEX($D$14:D14,1,E$6-ROUND(Inputs!$D$26,0)-2026+1),0))</f>
        <v>0</v>
      </c>
      <c r="F13" s="50" t="n">
        <f aca="false">IF(F$6-ROUND(Inputs!$D$26,0)=2026,$D$14+Inputs!$D$28,IF(F$6-ROUND(Inputs!$D$26,0)&gt;=2027,INDEX($D$14:E14,1,F$6-ROUND(Inputs!$D$26,0)-2026+1),0))</f>
        <v>0</v>
      </c>
      <c r="G13" s="50" t="n">
        <f aca="false">IF(G$6-ROUND(Inputs!$D$26,0)=2026,$D$14+Inputs!$D$28,IF(G$6-ROUND(Inputs!$D$26,0)&gt;=2027,INDEX($D$14:F14,1,G$6-ROUND(Inputs!$D$26,0)-2026+1),0))</f>
        <v>0</v>
      </c>
      <c r="H13" s="50" t="n">
        <f aca="false">IF(H$6-ROUND(Inputs!$D$26,0)=2026,$D$14+Inputs!$D$28,IF(H$6-ROUND(Inputs!$D$26,0)&gt;=2027,INDEX($D$14:G14,1,H$6-ROUND(Inputs!$D$26,0)-2026+1),0))</f>
        <v>0</v>
      </c>
      <c r="I13" s="50" t="n">
        <f aca="false">IF(I$6-ROUND(Inputs!$D$26,0)=2026,$D$14+Inputs!$D$28,IF(I$6-ROUND(Inputs!$D$26,0)&gt;=2027,INDEX($D$14:H14,1,I$6-ROUND(Inputs!$D$26,0)-2026+1),0))</f>
        <v>0</v>
      </c>
      <c r="J13" s="50" t="n">
        <f aca="false">IF(J$6-ROUND(Inputs!$D$26,0)=2026,$D$14+Inputs!$D$28,IF(J$6-ROUND(Inputs!$D$26,0)&gt;=2027,INDEX($D$14:I14,1,J$6-ROUND(Inputs!$D$26,0)-2026+1),0))</f>
        <v>0</v>
      </c>
      <c r="K13" s="50" t="n">
        <f aca="false">IF(K$6-ROUND(Inputs!$D$26,0)=2026,$D$14+Inputs!$D$28,IF(K$6-ROUND(Inputs!$D$26,0)&gt;=2027,INDEX($D$14:J14,1,K$6-ROUND(Inputs!$D$26,0)-2026+1),0))</f>
        <v>25</v>
      </c>
      <c r="L13" s="50" t="n">
        <f aca="false">IF(L$6-ROUND(Inputs!$D$26,0)=2026,$D$14+Inputs!$D$28,IF(L$6-ROUND(Inputs!$D$26,0)&gt;=2027,INDEX($D$14:K14,1,L$6-ROUND(Inputs!$D$26,0)-2026+1),0))</f>
        <v>35</v>
      </c>
      <c r="M13" s="50" t="n">
        <f aca="false">IF(M$6-ROUND(Inputs!$D$26,0)=2026,$D$14+Inputs!$D$28,IF(M$6-ROUND(Inputs!$D$26,0)&gt;=2027,INDEX($D$14:L14,1,M$6-ROUND(Inputs!$D$26,0)-2026+1),0))</f>
        <v>30</v>
      </c>
      <c r="N13" s="50" t="n">
        <f aca="false">IF(N$6-ROUND(Inputs!$D$26,0)=2026,$D$14+Inputs!$D$28,IF(N$6-ROUND(Inputs!$D$26,0)&gt;=2027,INDEX($D$14:M14,1,N$6-ROUND(Inputs!$D$26,0)-2026+1),0))</f>
        <v>0</v>
      </c>
      <c r="O13" s="50" t="n">
        <f aca="false">IF(O$6-ROUND(Inputs!$D$26,0)=2026,$D$14+Inputs!$D$28,IF(O$6-ROUND(Inputs!$D$26,0)&gt;=2027,INDEX($D$14:N14,1,O$6-ROUND(Inputs!$D$26,0)-2026+1),0))</f>
        <v>0</v>
      </c>
      <c r="P13" s="50" t="n">
        <f aca="false">IF(P$6-ROUND(Inputs!$D$26,0)=2026,$D$14+Inputs!$D$28,IF(P$6-ROUND(Inputs!$D$26,0)&gt;=2027,INDEX($D$14:O14,1,P$6-ROUND(Inputs!$D$26,0)-2026+1),0))</f>
        <v>0</v>
      </c>
      <c r="Q13" s="50" t="n">
        <f aca="false">IF(Q$6-ROUND(Inputs!$D$26,0)=2026,$D$14+Inputs!$D$28,IF(Q$6-ROUND(Inputs!$D$26,0)&gt;=2027,INDEX($D$14:P14,1,Q$6-ROUND(Inputs!$D$26,0)-2026+1),0))</f>
        <v>0</v>
      </c>
      <c r="R13" s="50" t="n">
        <f aca="false">IF(R$6-ROUND(Inputs!$D$26,0)=2026,$D$14+Inputs!$D$28,IF(R$6-ROUND(Inputs!$D$26,0)&gt;=2027,INDEX($D$14:Q14,1,R$6-ROUND(Inputs!$D$26,0)-2026+1),0))</f>
        <v>25</v>
      </c>
    </row>
    <row r="14" customFormat="false" ht="15" hidden="false" customHeight="false" outlineLevel="0" collapsed="false">
      <c r="A14" s="7" t="s">
        <v>579</v>
      </c>
      <c r="B14" s="17" t="s">
        <v>134</v>
      </c>
      <c r="D14" s="50" t="n">
        <f aca="false">MAX(0,D11-D12+D13)</f>
        <v>21</v>
      </c>
      <c r="E14" s="50" t="n">
        <f aca="false">MAX(0,E11-E12+E13)</f>
        <v>35</v>
      </c>
      <c r="F14" s="50" t="n">
        <f aca="false">MAX(0,F11-F12+F13)</f>
        <v>30</v>
      </c>
      <c r="G14" s="50" t="n">
        <f aca="false">MAX(0,G11-G12+G13)</f>
        <v>0</v>
      </c>
      <c r="H14" s="50" t="n">
        <f aca="false">MAX(0,H11-H12+H13)</f>
        <v>0</v>
      </c>
      <c r="I14" s="50" t="n">
        <f aca="false">MAX(0,I11-I12+I13)</f>
        <v>0</v>
      </c>
      <c r="J14" s="50" t="n">
        <f aca="false">MAX(0,J11-J12+J13)</f>
        <v>0</v>
      </c>
      <c r="K14" s="50" t="n">
        <f aca="false">MAX(0,K11-K12+K13)</f>
        <v>25</v>
      </c>
      <c r="L14" s="50" t="n">
        <f aca="false">MAX(0,L11-L12+L13)</f>
        <v>35</v>
      </c>
      <c r="M14" s="50" t="n">
        <f aca="false">MAX(0,M11-M12+M13)</f>
        <v>30</v>
      </c>
      <c r="N14" s="50" t="n">
        <f aca="false">MAX(0,N11-N12+N13)</f>
        <v>0</v>
      </c>
      <c r="O14" s="50" t="n">
        <f aca="false">MAX(0,O11-O12+O13)</f>
        <v>0</v>
      </c>
      <c r="P14" s="50" t="n">
        <f aca="false">MAX(0,P11-P12+P13)</f>
        <v>0</v>
      </c>
      <c r="Q14" s="50" t="n">
        <f aca="false">MAX(0,Q11-Q12+Q13)</f>
        <v>0</v>
      </c>
      <c r="R14" s="50" t="n">
        <f aca="false">MAX(0,R11-R12+R13)</f>
        <v>25</v>
      </c>
    </row>
    <row r="15" customFormat="false" ht="15" hidden="false" customHeight="false" outlineLevel="0" collapsed="false">
      <c r="A15" s="3" t="s">
        <v>580</v>
      </c>
      <c r="B15" s="17" t="s">
        <v>134</v>
      </c>
      <c r="D15" s="53" t="n">
        <f aca="false">D12-D13+D14</f>
        <v>25</v>
      </c>
      <c r="E15" s="53" t="n">
        <f aca="false">E12-E13+E14</f>
        <v>60</v>
      </c>
      <c r="F15" s="53" t="n">
        <f aca="false">F12-F13+F14</f>
        <v>90</v>
      </c>
      <c r="G15" s="53" t="n">
        <f aca="false">G12-G13+G14</f>
        <v>90</v>
      </c>
      <c r="H15" s="53" t="n">
        <f aca="false">H12-H13+H14</f>
        <v>90</v>
      </c>
      <c r="I15" s="53" t="n">
        <f aca="false">I12-I13+I14</f>
        <v>90</v>
      </c>
      <c r="J15" s="53" t="n">
        <f aca="false">J12-J13+J14</f>
        <v>90</v>
      </c>
      <c r="K15" s="53" t="n">
        <f aca="false">K12-K13+K14</f>
        <v>90</v>
      </c>
      <c r="L15" s="53" t="n">
        <f aca="false">L12-L13+L14</f>
        <v>90</v>
      </c>
      <c r="M15" s="53" t="n">
        <f aca="false">M12-M13+M14</f>
        <v>90</v>
      </c>
      <c r="N15" s="53" t="n">
        <f aca="false">N12-N13+N14</f>
        <v>90</v>
      </c>
      <c r="O15" s="53" t="n">
        <f aca="false">O12-O13+O14</f>
        <v>90</v>
      </c>
      <c r="P15" s="53" t="n">
        <f aca="false">P12-P13+P14</f>
        <v>90</v>
      </c>
      <c r="Q15" s="53" t="n">
        <f aca="false">Q12-Q13+Q14</f>
        <v>90</v>
      </c>
      <c r="R15" s="53" t="n">
        <f aca="false">R12-R13+R14</f>
        <v>90</v>
      </c>
    </row>
    <row r="16" customFormat="false" ht="15" hidden="false" customHeight="false" outlineLevel="0" collapsed="false">
      <c r="A16" s="7" t="s">
        <v>581</v>
      </c>
      <c r="B16" s="17" t="s">
        <v>134</v>
      </c>
      <c r="D16" s="42" t="n">
        <f aca="false">D14/(1-Inputs!$D$27)</f>
        <v>22.1052631578947</v>
      </c>
      <c r="E16" s="42" t="n">
        <f aca="false">E14/(1-Inputs!$D$27)</f>
        <v>36.8421052631579</v>
      </c>
      <c r="F16" s="42" t="n">
        <f aca="false">F14/(1-Inputs!$D$27)</f>
        <v>31.5789473684211</v>
      </c>
      <c r="G16" s="42" t="n">
        <f aca="false">G14/(1-Inputs!$D$27)</f>
        <v>0</v>
      </c>
      <c r="H16" s="42" t="n">
        <f aca="false">H14/(1-Inputs!$D$27)</f>
        <v>0</v>
      </c>
      <c r="I16" s="42" t="n">
        <f aca="false">I14/(1-Inputs!$D$27)</f>
        <v>0</v>
      </c>
      <c r="J16" s="42" t="n">
        <f aca="false">J14/(1-Inputs!$D$27)</f>
        <v>0</v>
      </c>
      <c r="K16" s="42" t="n">
        <f aca="false">K14/(1-Inputs!$D$27)</f>
        <v>26.3157894736842</v>
      </c>
      <c r="L16" s="42" t="n">
        <f aca="false">L14/(1-Inputs!$D$27)</f>
        <v>36.8421052631579</v>
      </c>
      <c r="M16" s="42" t="n">
        <f aca="false">M14/(1-Inputs!$D$27)</f>
        <v>31.5789473684211</v>
      </c>
      <c r="N16" s="42" t="n">
        <f aca="false">N14/(1-Inputs!$D$27)</f>
        <v>0</v>
      </c>
      <c r="O16" s="42" t="n">
        <f aca="false">O14/(1-Inputs!$D$27)</f>
        <v>0</v>
      </c>
      <c r="P16" s="42" t="n">
        <f aca="false">P14/(1-Inputs!$D$27)</f>
        <v>0</v>
      </c>
      <c r="Q16" s="42" t="n">
        <f aca="false">Q14/(1-Inputs!$D$27)</f>
        <v>0</v>
      </c>
      <c r="R16" s="42" t="n">
        <f aca="false">R14/(1-Inputs!$D$27)</f>
        <v>26.3157894736842</v>
      </c>
    </row>
    <row r="17" customFormat="false" ht="15" hidden="false" customHeight="false" outlineLevel="0" collapsed="false">
      <c r="A17" s="7" t="s">
        <v>582</v>
      </c>
      <c r="B17" s="17" t="s">
        <v>134</v>
      </c>
      <c r="D17" s="42" t="n">
        <f aca="false">(D12+D15)/2</f>
        <v>14.5</v>
      </c>
      <c r="E17" s="42" t="n">
        <f aca="false">(E12+E15)/2</f>
        <v>42.5</v>
      </c>
      <c r="F17" s="42" t="n">
        <f aca="false">(F12+F15)/2</f>
        <v>75</v>
      </c>
      <c r="G17" s="42" t="n">
        <f aca="false">(G12+G15)/2</f>
        <v>90</v>
      </c>
      <c r="H17" s="42" t="n">
        <f aca="false">(H12+H15)/2</f>
        <v>90</v>
      </c>
      <c r="I17" s="42" t="n">
        <f aca="false">(I12+I15)/2</f>
        <v>90</v>
      </c>
      <c r="J17" s="42" t="n">
        <f aca="false">(J12+J15)/2</f>
        <v>90</v>
      </c>
      <c r="K17" s="42" t="n">
        <f aca="false">(K12+K15)/2</f>
        <v>90</v>
      </c>
      <c r="L17" s="42" t="n">
        <f aca="false">(L12+L15)/2</f>
        <v>90</v>
      </c>
      <c r="M17" s="42" t="n">
        <f aca="false">(M12+M15)/2</f>
        <v>90</v>
      </c>
      <c r="N17" s="42" t="n">
        <f aca="false">(N12+N15)/2</f>
        <v>90</v>
      </c>
      <c r="O17" s="42" t="n">
        <f aca="false">(O12+O15)/2</f>
        <v>90</v>
      </c>
      <c r="P17" s="42" t="n">
        <f aca="false">(P12+P15)/2</f>
        <v>90</v>
      </c>
      <c r="Q17" s="42" t="n">
        <f aca="false">(Q12+Q15)/2</f>
        <v>90</v>
      </c>
      <c r="R17" s="42" t="n">
        <f aca="false">(R12+R15)/2</f>
        <v>90</v>
      </c>
    </row>
    <row r="18" customFormat="false" ht="15" hidden="false" customHeight="false" outlineLevel="0" collapsed="false">
      <c r="A18" s="7" t="s">
        <v>583</v>
      </c>
      <c r="B18" s="17" t="s">
        <v>116</v>
      </c>
      <c r="D18" s="42" t="n">
        <f aca="false">Inputs!$F$64*(1+Inputs!$F$65)^MAX(0,D$6-2028)</f>
        <v>22</v>
      </c>
      <c r="E18" s="42" t="n">
        <f aca="false">Inputs!$F$64*(1+Inputs!$F$65)^MAX(0,E$6-2028)</f>
        <v>22</v>
      </c>
      <c r="F18" s="42" t="n">
        <f aca="false">Inputs!$F$64*(1+Inputs!$F$65)^MAX(0,F$6-2028)</f>
        <v>22</v>
      </c>
      <c r="G18" s="42" t="n">
        <f aca="false">Inputs!$F$64*(1+Inputs!$F$65)^MAX(0,G$6-2028)</f>
        <v>22.44</v>
      </c>
      <c r="H18" s="42" t="n">
        <f aca="false">Inputs!$F$64*(1+Inputs!$F$65)^MAX(0,H$6-2028)</f>
        <v>22.8888</v>
      </c>
      <c r="I18" s="42" t="n">
        <f aca="false">Inputs!$F$64*(1+Inputs!$F$65)^MAX(0,I$6-2028)</f>
        <v>23.346576</v>
      </c>
      <c r="J18" s="42" t="n">
        <f aca="false">Inputs!$F$64*(1+Inputs!$F$65)^MAX(0,J$6-2028)</f>
        <v>23.81350752</v>
      </c>
      <c r="K18" s="42" t="n">
        <f aca="false">Inputs!$F$64*(1+Inputs!$F$65)^MAX(0,K$6-2028)</f>
        <v>24.2897776704</v>
      </c>
      <c r="L18" s="42" t="n">
        <f aca="false">Inputs!$F$64*(1+Inputs!$F$65)^MAX(0,L$6-2028)</f>
        <v>24.775573223808</v>
      </c>
      <c r="M18" s="42" t="n">
        <f aca="false">Inputs!$F$64*(1+Inputs!$F$65)^MAX(0,M$6-2028)</f>
        <v>25.2710846882842</v>
      </c>
      <c r="N18" s="42" t="n">
        <f aca="false">Inputs!$F$64*(1+Inputs!$F$65)^MAX(0,N$6-2028)</f>
        <v>25.7765063820498</v>
      </c>
      <c r="O18" s="42" t="n">
        <f aca="false">Inputs!$F$64*(1+Inputs!$F$65)^MAX(0,O$6-2028)</f>
        <v>26.2920365096908</v>
      </c>
      <c r="P18" s="42" t="n">
        <f aca="false">Inputs!$F$64*(1+Inputs!$F$65)^MAX(0,P$6-2028)</f>
        <v>26.8178772398847</v>
      </c>
      <c r="Q18" s="42" t="n">
        <f aca="false">Inputs!$F$64*(1+Inputs!$F$65)^MAX(0,Q$6-2028)</f>
        <v>27.3542347846824</v>
      </c>
      <c r="R18" s="42" t="n">
        <f aca="false">Inputs!$F$64*(1+Inputs!$F$65)^MAX(0,R$6-2028)</f>
        <v>27.901319480376</v>
      </c>
    </row>
    <row r="19" customFormat="false" ht="15" hidden="false" customHeight="false" outlineLevel="0" collapsed="false">
      <c r="A19" s="7" t="s">
        <v>584</v>
      </c>
      <c r="B19" s="17" t="s">
        <v>116</v>
      </c>
      <c r="D19" s="42" t="n">
        <f aca="false">D16*D18</f>
        <v>486.315789473684</v>
      </c>
      <c r="E19" s="42" t="n">
        <f aca="false">E16*E18</f>
        <v>810.526315789474</v>
      </c>
      <c r="F19" s="42" t="n">
        <f aca="false">F16*F18</f>
        <v>694.736842105263</v>
      </c>
      <c r="G19" s="42" t="n">
        <f aca="false">G16*G18</f>
        <v>0</v>
      </c>
      <c r="H19" s="42" t="n">
        <f aca="false">H16*H18</f>
        <v>0</v>
      </c>
      <c r="I19" s="42" t="n">
        <f aca="false">I16*I18</f>
        <v>0</v>
      </c>
      <c r="J19" s="42" t="n">
        <f aca="false">J16*J18</f>
        <v>0</v>
      </c>
      <c r="K19" s="42" t="n">
        <f aca="false">K16*K18</f>
        <v>639.204675536842</v>
      </c>
      <c r="L19" s="42" t="n">
        <f aca="false">L16*L18</f>
        <v>912.784276666611</v>
      </c>
      <c r="M19" s="42" t="n">
        <f aca="false">M16*M18</f>
        <v>798.034253314237</v>
      </c>
      <c r="N19" s="42" t="n">
        <f aca="false">N16*N18</f>
        <v>0</v>
      </c>
      <c r="O19" s="42" t="n">
        <f aca="false">O16*O18</f>
        <v>0</v>
      </c>
      <c r="P19" s="42" t="n">
        <f aca="false">P16*P18</f>
        <v>0</v>
      </c>
      <c r="Q19" s="42" t="n">
        <f aca="false">Q16*Q18</f>
        <v>0</v>
      </c>
      <c r="R19" s="42" t="n">
        <f aca="false">R16*R18</f>
        <v>734.245249483579</v>
      </c>
    </row>
    <row r="20" customFormat="false" ht="15" hidden="false" customHeight="false" outlineLevel="0" collapsed="false">
      <c r="A20" s="7" t="s">
        <v>585</v>
      </c>
      <c r="C20" s="54" t="n">
        <f aca="false">Inputs!$D$29*Inputs!$F$66</f>
        <v>862.0425</v>
      </c>
    </row>
    <row r="21" customFormat="false" ht="15" hidden="false" customHeight="false" outlineLevel="0" collapsed="false">
      <c r="A21" s="7" t="s">
        <v>586</v>
      </c>
      <c r="B21" s="17" t="s">
        <v>116</v>
      </c>
      <c r="D21" s="42" t="n">
        <f aca="false">MIN(D19,$C$20)</f>
        <v>486.315789473684</v>
      </c>
      <c r="E21" s="42" t="n">
        <f aca="false">MIN(E19,$C$20-SUM($D$21:D21))</f>
        <v>375.726710526316</v>
      </c>
      <c r="F21" s="42" t="n">
        <f aca="false">MIN(F19,$C$20-SUM($D$21:E21))</f>
        <v>0</v>
      </c>
      <c r="G21" s="42" t="n">
        <f aca="false">MIN(G19,$C$20-SUM($D$21:F21))</f>
        <v>0</v>
      </c>
      <c r="H21" s="42" t="n">
        <f aca="false">MIN(H19,$C$20-SUM($D$21:G21))</f>
        <v>0</v>
      </c>
      <c r="I21" s="42" t="n">
        <f aca="false">MIN(I19,$C$20-SUM($D$21:H21))</f>
        <v>0</v>
      </c>
      <c r="J21" s="42" t="n">
        <f aca="false">MIN(J19,$C$20-SUM($D$21:I21))</f>
        <v>0</v>
      </c>
      <c r="K21" s="42" t="n">
        <f aca="false">MIN(K19,$C$20-SUM($D$21:J21))</f>
        <v>0</v>
      </c>
      <c r="L21" s="42" t="n">
        <f aca="false">MIN(L19,$C$20-SUM($D$21:K21))</f>
        <v>0</v>
      </c>
      <c r="M21" s="42" t="n">
        <f aca="false">MIN(M19,$C$20-SUM($D$21:L21))</f>
        <v>0</v>
      </c>
      <c r="N21" s="42" t="n">
        <f aca="false">MIN(N19,$C$20-SUM($D$21:M21))</f>
        <v>0</v>
      </c>
      <c r="O21" s="42" t="n">
        <f aca="false">MIN(O19,$C$20-SUM($D$21:N21))</f>
        <v>0</v>
      </c>
      <c r="P21" s="42" t="n">
        <f aca="false">MIN(P19,$C$20-SUM($D$21:O21))</f>
        <v>0</v>
      </c>
      <c r="Q21" s="42" t="n">
        <f aca="false">MIN(Q19,$C$20-SUM($D$21:P21))</f>
        <v>0</v>
      </c>
      <c r="R21" s="42" t="n">
        <f aca="false">MIN(R19,$C$20-SUM($D$21:Q21))</f>
        <v>0</v>
      </c>
    </row>
    <row r="22" customFormat="false" ht="15" hidden="false" customHeight="false" outlineLevel="0" collapsed="false">
      <c r="A22" s="3" t="s">
        <v>587</v>
      </c>
      <c r="B22" s="17" t="s">
        <v>116</v>
      </c>
      <c r="D22" s="55" t="n">
        <f aca="false">D19-D21</f>
        <v>0</v>
      </c>
      <c r="E22" s="55" t="n">
        <f aca="false">E19-E21</f>
        <v>434.799605263158</v>
      </c>
      <c r="F22" s="55" t="n">
        <f aca="false">F19-F21</f>
        <v>694.736842105263</v>
      </c>
      <c r="G22" s="55" t="n">
        <f aca="false">G19-G21</f>
        <v>0</v>
      </c>
      <c r="H22" s="55" t="n">
        <f aca="false">H19-H21</f>
        <v>0</v>
      </c>
      <c r="I22" s="55" t="n">
        <f aca="false">I19-I21</f>
        <v>0</v>
      </c>
      <c r="J22" s="55" t="n">
        <f aca="false">J19-J21</f>
        <v>0</v>
      </c>
      <c r="K22" s="55" t="n">
        <f aca="false">K19-K21</f>
        <v>639.204675536842</v>
      </c>
      <c r="L22" s="55" t="n">
        <f aca="false">L19-L21</f>
        <v>912.784276666611</v>
      </c>
      <c r="M22" s="55" t="n">
        <f aca="false">M19-M21</f>
        <v>798.034253314237</v>
      </c>
      <c r="N22" s="55" t="n">
        <f aca="false">N19-N21</f>
        <v>0</v>
      </c>
      <c r="O22" s="55" t="n">
        <f aca="false">O19-O21</f>
        <v>0</v>
      </c>
      <c r="P22" s="55" t="n">
        <f aca="false">P19-P21</f>
        <v>0</v>
      </c>
      <c r="Q22" s="55" t="n">
        <f aca="false">Q19-Q21</f>
        <v>0</v>
      </c>
      <c r="R22" s="55" t="n">
        <f aca="false">R19-R21</f>
        <v>734.245249483579</v>
      </c>
    </row>
    <row r="23" customFormat="false" ht="15" hidden="false" customHeight="false" outlineLevel="0" collapsed="false">
      <c r="A23" s="5" t="s">
        <v>588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customFormat="false" ht="15" hidden="false" customHeight="false" outlineLevel="0" collapsed="false">
      <c r="A24" s="7" t="s">
        <v>589</v>
      </c>
      <c r="B24" s="17" t="s">
        <v>68</v>
      </c>
      <c r="D24" s="41" t="n">
        <f aca="false">MIN(1,MAX(0,(D17-Inputs!$D$32)/(Inputs!$D$33-Inputs!$D$32)))</f>
        <v>0</v>
      </c>
      <c r="E24" s="41" t="n">
        <f aca="false">MIN(1,MAX(0,(E17-Inputs!$D$32)/(Inputs!$D$33-Inputs!$D$32)))</f>
        <v>0.5625</v>
      </c>
      <c r="F24" s="41" t="n">
        <f aca="false">MIN(1,MAX(0,(F17-Inputs!$D$32)/(Inputs!$D$33-Inputs!$D$32)))</f>
        <v>1</v>
      </c>
      <c r="G24" s="41" t="n">
        <f aca="false">MIN(1,MAX(0,(G17-Inputs!$D$32)/(Inputs!$D$33-Inputs!$D$32)))</f>
        <v>1</v>
      </c>
      <c r="H24" s="41" t="n">
        <f aca="false">MIN(1,MAX(0,(H17-Inputs!$D$32)/(Inputs!$D$33-Inputs!$D$32)))</f>
        <v>1</v>
      </c>
      <c r="I24" s="41" t="n">
        <f aca="false">MIN(1,MAX(0,(I17-Inputs!$D$32)/(Inputs!$D$33-Inputs!$D$32)))</f>
        <v>1</v>
      </c>
      <c r="J24" s="41" t="n">
        <f aca="false">MIN(1,MAX(0,(J17-Inputs!$D$32)/(Inputs!$D$33-Inputs!$D$32)))</f>
        <v>1</v>
      </c>
      <c r="K24" s="41" t="n">
        <f aca="false">MIN(1,MAX(0,(K17-Inputs!$D$32)/(Inputs!$D$33-Inputs!$D$32)))</f>
        <v>1</v>
      </c>
      <c r="L24" s="41" t="n">
        <f aca="false">MIN(1,MAX(0,(L17-Inputs!$D$32)/(Inputs!$D$33-Inputs!$D$32)))</f>
        <v>1</v>
      </c>
      <c r="M24" s="41" t="n">
        <f aca="false">MIN(1,MAX(0,(M17-Inputs!$D$32)/(Inputs!$D$33-Inputs!$D$32)))</f>
        <v>1</v>
      </c>
      <c r="N24" s="41" t="n">
        <f aca="false">MIN(1,MAX(0,(N17-Inputs!$D$32)/(Inputs!$D$33-Inputs!$D$32)))</f>
        <v>1</v>
      </c>
      <c r="O24" s="41" t="n">
        <f aca="false">MIN(1,MAX(0,(O17-Inputs!$D$32)/(Inputs!$D$33-Inputs!$D$32)))</f>
        <v>1</v>
      </c>
      <c r="P24" s="41" t="n">
        <f aca="false">MIN(1,MAX(0,(P17-Inputs!$D$32)/(Inputs!$D$33-Inputs!$D$32)))</f>
        <v>1</v>
      </c>
      <c r="Q24" s="41" t="n">
        <f aca="false">MIN(1,MAX(0,(Q17-Inputs!$D$32)/(Inputs!$D$33-Inputs!$D$32)))</f>
        <v>1</v>
      </c>
      <c r="R24" s="41" t="n">
        <f aca="false">MIN(1,MAX(0,(R17-Inputs!$D$32)/(Inputs!$D$33-Inputs!$D$32)))</f>
        <v>1</v>
      </c>
    </row>
    <row r="25" customFormat="false" ht="15" hidden="false" customHeight="false" outlineLevel="0" collapsed="false">
      <c r="A25" s="7" t="s">
        <v>590</v>
      </c>
      <c r="B25" s="17" t="s">
        <v>68</v>
      </c>
      <c r="D25" s="41" t="n">
        <f aca="false">MIN(1,MAX(0,(D17-Inputs!$D$34)/(Inputs!$D$35-Inputs!$D$34)))</f>
        <v>0</v>
      </c>
      <c r="E25" s="41" t="n">
        <f aca="false">MIN(1,MAX(0,(E17-Inputs!$D$34)/(Inputs!$D$35-Inputs!$D$34)))</f>
        <v>0</v>
      </c>
      <c r="F25" s="41" t="n">
        <f aca="false">MIN(1,MAX(0,(F17-Inputs!$D$34)/(Inputs!$D$35-Inputs!$D$34)))</f>
        <v>0.5</v>
      </c>
      <c r="G25" s="41" t="n">
        <f aca="false">MIN(1,MAX(0,(G17-Inputs!$D$34)/(Inputs!$D$35-Inputs!$D$34)))</f>
        <v>1</v>
      </c>
      <c r="H25" s="41" t="n">
        <f aca="false">MIN(1,MAX(0,(H17-Inputs!$D$34)/(Inputs!$D$35-Inputs!$D$34)))</f>
        <v>1</v>
      </c>
      <c r="I25" s="41" t="n">
        <f aca="false">MIN(1,MAX(0,(I17-Inputs!$D$34)/(Inputs!$D$35-Inputs!$D$34)))</f>
        <v>1</v>
      </c>
      <c r="J25" s="41" t="n">
        <f aca="false">MIN(1,MAX(0,(J17-Inputs!$D$34)/(Inputs!$D$35-Inputs!$D$34)))</f>
        <v>1</v>
      </c>
      <c r="K25" s="41" t="n">
        <f aca="false">MIN(1,MAX(0,(K17-Inputs!$D$34)/(Inputs!$D$35-Inputs!$D$34)))</f>
        <v>1</v>
      </c>
      <c r="L25" s="41" t="n">
        <f aca="false">MIN(1,MAX(0,(L17-Inputs!$D$34)/(Inputs!$D$35-Inputs!$D$34)))</f>
        <v>1</v>
      </c>
      <c r="M25" s="41" t="n">
        <f aca="false">MIN(1,MAX(0,(M17-Inputs!$D$34)/(Inputs!$D$35-Inputs!$D$34)))</f>
        <v>1</v>
      </c>
      <c r="N25" s="41" t="n">
        <f aca="false">MIN(1,MAX(0,(N17-Inputs!$D$34)/(Inputs!$D$35-Inputs!$D$34)))</f>
        <v>1</v>
      </c>
      <c r="O25" s="41" t="n">
        <f aca="false">MIN(1,MAX(0,(O17-Inputs!$D$34)/(Inputs!$D$35-Inputs!$D$34)))</f>
        <v>1</v>
      </c>
      <c r="P25" s="41" t="n">
        <f aca="false">MIN(1,MAX(0,(P17-Inputs!$D$34)/(Inputs!$D$35-Inputs!$D$34)))</f>
        <v>1</v>
      </c>
      <c r="Q25" s="41" t="n">
        <f aca="false">MIN(1,MAX(0,(Q17-Inputs!$D$34)/(Inputs!$D$35-Inputs!$D$34)))</f>
        <v>1</v>
      </c>
      <c r="R25" s="41" t="n">
        <f aca="false">MIN(1,MAX(0,(R17-Inputs!$D$34)/(Inputs!$D$35-Inputs!$D$34)))</f>
        <v>1</v>
      </c>
    </row>
    <row r="26" customFormat="false" ht="15" hidden="false" customHeight="false" outlineLevel="0" collapsed="false">
      <c r="A26" s="7" t="s">
        <v>591</v>
      </c>
      <c r="C26" s="56" t="n">
        <f aca="false">2*LN(19)/Inputs!$F$72</f>
        <v>0.981479659722147</v>
      </c>
    </row>
    <row r="27" customFormat="false" ht="15" hidden="false" customHeight="false" outlineLevel="0" collapsed="false">
      <c r="A27" s="7" t="s">
        <v>592</v>
      </c>
      <c r="B27" s="17" t="s">
        <v>68</v>
      </c>
      <c r="D27" s="48" t="n">
        <f aca="false">IF(D9&gt;=Inputs!$F$68,Inputs!$F$70/(1+EXP(-$C$26*(D9-(Inputs!$F$68+Inputs!$F$72/2)))),0)</f>
        <v>0</v>
      </c>
      <c r="E27" s="48" t="n">
        <f aca="false">IF(E9&gt;=Inputs!$F$68,Inputs!$F$70/(1+EXP(-$C$26*(E9-(Inputs!$F$68+Inputs!$F$72/2)))),0)</f>
        <v>0.00791684580431763</v>
      </c>
      <c r="F27" s="48" t="n">
        <f aca="false">IF(F9&gt;=Inputs!$F$68,Inputs!$F$70/(1+EXP(-$C$26*(F9-(Inputs!$F$68+Inputs!$F$72/2)))),0)</f>
        <v>0.0186605496863371</v>
      </c>
      <c r="G27" s="48" t="n">
        <f aca="false">IF(G9&gt;=Inputs!$F$68,Inputs!$F$70/(1+EXP(-$C$26*(G9-(Inputs!$F$68+Inputs!$F$72/2)))),0)</f>
        <v>0.0379719298141306</v>
      </c>
      <c r="H27" s="48" t="n">
        <f aca="false">IF(H9&gt;=Inputs!$F$68,Inputs!$F$70/(1+EXP(-$C$26*(H9-(Inputs!$F$68+Inputs!$F$72/2)))),0)</f>
        <v>0.0620280701858694</v>
      </c>
      <c r="I27" s="48" t="n">
        <f aca="false">IF(I9&gt;=Inputs!$F$68,Inputs!$F$70/(1+EXP(-$C$26*(I9-(Inputs!$F$68+Inputs!$F$72/2)))),0)</f>
        <v>0.0813394503136629</v>
      </c>
      <c r="J27" s="48" t="n">
        <f aca="false">IF(J9&gt;=Inputs!$F$68,Inputs!$F$70/(1+EXP(-$C$26*(J9-(Inputs!$F$68+Inputs!$F$72/2)))),0)</f>
        <v>0.0920831541956824</v>
      </c>
      <c r="K27" s="48" t="n">
        <f aca="false">IF(K9&gt;=Inputs!$F$68,Inputs!$F$70/(1+EXP(-$C$26*(K9-(Inputs!$F$68+Inputs!$F$72/2)))),0)</f>
        <v>0.0968786053822982</v>
      </c>
      <c r="L27" s="48" t="n">
        <f aca="false">IF(L9&gt;=Inputs!$F$68,Inputs!$F$70/(1+EXP(-$C$26*(L9-(Inputs!$F$68+Inputs!$F$72/2)))),0)</f>
        <v>0.0988069542151171</v>
      </c>
      <c r="M27" s="48" t="n">
        <f aca="false">IF(M9&gt;=Inputs!$F$68,Inputs!$F$70/(1+EXP(-$C$26*(M9-(Inputs!$F$68+Inputs!$F$72/2)))),0)</f>
        <v>0.0995495385303359</v>
      </c>
      <c r="N27" s="48" t="n">
        <f aca="false">IF(N9&gt;=Inputs!$F$68,Inputs!$F$70/(1+EXP(-$C$26*(N9-(Inputs!$F$68+Inputs!$F$72/2)))),0)</f>
        <v>0.0998307099794572</v>
      </c>
      <c r="O27" s="48" t="n">
        <f aca="false">IF(O9&gt;=Inputs!$F$68,Inputs!$F$70/(1+EXP(-$C$26*(O9-(Inputs!$F$68+Inputs!$F$72/2)))),0)</f>
        <v>0.0999364902956742</v>
      </c>
      <c r="P27" s="48" t="n">
        <f aca="false">IF(P9&gt;=Inputs!$F$68,Inputs!$F$70/(1+EXP(-$C$26*(P9-(Inputs!$F$68+Inputs!$F$72/2)))),0)</f>
        <v>0.0999761898912501</v>
      </c>
      <c r="Q27" s="48" t="n">
        <f aca="false">IF(Q9&gt;=Inputs!$F$68,Inputs!$F$70/(1+EXP(-$C$26*(Q9-(Inputs!$F$68+Inputs!$F$72/2)))),0)</f>
        <v>0.0999910756861025</v>
      </c>
      <c r="R27" s="48" t="n">
        <f aca="false">IF(R9&gt;=Inputs!$F$68,Inputs!$F$70/(1+EXP(-$C$26*(R9-(Inputs!$F$68+Inputs!$F$72/2)))),0)</f>
        <v>0.0999966553716174</v>
      </c>
    </row>
    <row r="28" customFormat="false" ht="15" hidden="false" customHeight="false" outlineLevel="0" collapsed="false">
      <c r="A28" s="7" t="s">
        <v>593</v>
      </c>
      <c r="B28" s="17" t="s">
        <v>68</v>
      </c>
      <c r="D28" s="48" t="n">
        <f aca="false">IF(D9&gt;=Inputs!$F$69,Inputs!$F$71/(1+EXP(-$C$26*(D9-(Inputs!$F$69+Inputs!$F$72/2)))),0)</f>
        <v>0</v>
      </c>
      <c r="E28" s="48" t="n">
        <f aca="false">IF(E9&gt;=Inputs!$F$69,Inputs!$F$71/(1+EXP(-$C$26*(E9-(Inputs!$F$69+Inputs!$F$72/2)))),0)</f>
        <v>0</v>
      </c>
      <c r="F28" s="48" t="n">
        <f aca="false">IF(F9&gt;=Inputs!$F$69,Inputs!$F$71/(1+EXP(-$C$26*(F9-(Inputs!$F$69+Inputs!$F$72/2)))),0)</f>
        <v>0</v>
      </c>
      <c r="G28" s="48" t="n">
        <f aca="false">IF(G9&gt;=Inputs!$F$69,Inputs!$F$71/(1+EXP(-$C$26*(G9-(Inputs!$F$69+Inputs!$F$72/2)))),0)</f>
        <v>0.00237505374129529</v>
      </c>
      <c r="H28" s="48" t="n">
        <f aca="false">IF(H9&gt;=Inputs!$F$69,Inputs!$F$71/(1+EXP(-$C$26*(H9-(Inputs!$F$69+Inputs!$F$72/2)))),0)</f>
        <v>0.00559816490590112</v>
      </c>
      <c r="I28" s="48" t="n">
        <f aca="false">IF(I9&gt;=Inputs!$F$69,Inputs!$F$71/(1+EXP(-$C$26*(I9-(Inputs!$F$69+Inputs!$F$72/2)))),0)</f>
        <v>0.0113915789442392</v>
      </c>
      <c r="J28" s="48" t="n">
        <f aca="false">IF(J9&gt;=Inputs!$F$69,Inputs!$F$71/(1+EXP(-$C$26*(J9-(Inputs!$F$69+Inputs!$F$72/2)))),0)</f>
        <v>0.0186084210557608</v>
      </c>
      <c r="K28" s="48" t="n">
        <f aca="false">IF(K9&gt;=Inputs!$F$69,Inputs!$F$71/(1+EXP(-$C$26*(K9-(Inputs!$F$69+Inputs!$F$72/2)))),0)</f>
        <v>0.0244018350940989</v>
      </c>
      <c r="L28" s="48" t="n">
        <f aca="false">IF(L9&gt;=Inputs!$F$69,Inputs!$F$71/(1+EXP(-$C$26*(L9-(Inputs!$F$69+Inputs!$F$72/2)))),0)</f>
        <v>0.0276249462587047</v>
      </c>
      <c r="M28" s="48" t="n">
        <f aca="false">IF(M9&gt;=Inputs!$F$69,Inputs!$F$71/(1+EXP(-$C$26*(M9-(Inputs!$F$69+Inputs!$F$72/2)))),0)</f>
        <v>0.0290635816146895</v>
      </c>
      <c r="N28" s="48" t="n">
        <f aca="false">IF(N9&gt;=Inputs!$F$69,Inputs!$F$71/(1+EXP(-$C$26*(N9-(Inputs!$F$69+Inputs!$F$72/2)))),0)</f>
        <v>0.0296420862645351</v>
      </c>
      <c r="O28" s="48" t="n">
        <f aca="false">IF(O9&gt;=Inputs!$F$69,Inputs!$F$71/(1+EXP(-$C$26*(O9-(Inputs!$F$69+Inputs!$F$72/2)))),0)</f>
        <v>0.0298648615591008</v>
      </c>
      <c r="P28" s="48" t="n">
        <f aca="false">IF(P9&gt;=Inputs!$F$69,Inputs!$F$71/(1+EXP(-$C$26*(P9-(Inputs!$F$69+Inputs!$F$72/2)))),0)</f>
        <v>0.0299492129938372</v>
      </c>
      <c r="Q28" s="48" t="n">
        <f aca="false">IF(Q9&gt;=Inputs!$F$69,Inputs!$F$71/(1+EXP(-$C$26*(Q9-(Inputs!$F$69+Inputs!$F$72/2)))),0)</f>
        <v>0.0299809470887022</v>
      </c>
      <c r="R28" s="48" t="n">
        <f aca="false">IF(R9&gt;=Inputs!$F$69,Inputs!$F$71/(1+EXP(-$C$26*(R9-(Inputs!$F$69+Inputs!$F$72/2)))),0)</f>
        <v>0.029992856967375</v>
      </c>
    </row>
    <row r="29" customFormat="false" ht="15" hidden="false" customHeight="false" outlineLevel="0" collapsed="false">
      <c r="A29" s="7" t="s">
        <v>594</v>
      </c>
      <c r="B29" s="17" t="s">
        <v>141</v>
      </c>
      <c r="D29" s="42" t="n">
        <f aca="false">Inputs!$D$30*(1+Inputs!$D$51)^MAX(0,D$6-2026)</f>
        <v>3000</v>
      </c>
      <c r="E29" s="42" t="n">
        <f aca="false">Inputs!$D$30*(1+Inputs!$D$51)^MAX(0,E$6-2026)</f>
        <v>3030</v>
      </c>
      <c r="F29" s="42" t="n">
        <f aca="false">Inputs!$D$30*(1+Inputs!$D$51)^MAX(0,F$6-2026)</f>
        <v>3060.3</v>
      </c>
      <c r="G29" s="42" t="n">
        <f aca="false">Inputs!$D$30*(1+Inputs!$D$51)^MAX(0,G$6-2026)</f>
        <v>3090.903</v>
      </c>
      <c r="H29" s="42" t="n">
        <f aca="false">Inputs!$D$30*(1+Inputs!$D$51)^MAX(0,H$6-2026)</f>
        <v>3121.81203</v>
      </c>
      <c r="I29" s="42" t="n">
        <f aca="false">Inputs!$D$30*(1+Inputs!$D$51)^MAX(0,I$6-2026)</f>
        <v>3153.0301503</v>
      </c>
      <c r="J29" s="42" t="n">
        <f aca="false">Inputs!$D$30*(1+Inputs!$D$51)^MAX(0,J$6-2026)</f>
        <v>3184.560451803</v>
      </c>
      <c r="K29" s="42" t="n">
        <f aca="false">Inputs!$D$30*(1+Inputs!$D$51)^MAX(0,K$6-2026)</f>
        <v>3216.40605632103</v>
      </c>
      <c r="L29" s="42" t="n">
        <f aca="false">Inputs!$D$30*(1+Inputs!$D$51)^MAX(0,L$6-2026)</f>
        <v>3248.57011688424</v>
      </c>
      <c r="M29" s="42" t="n">
        <f aca="false">Inputs!$D$30*(1+Inputs!$D$51)^MAX(0,M$6-2026)</f>
        <v>3281.05581805308</v>
      </c>
      <c r="N29" s="42" t="n">
        <f aca="false">Inputs!$D$30*(1+Inputs!$D$51)^MAX(0,N$6-2026)</f>
        <v>3313.86637623361</v>
      </c>
      <c r="O29" s="42" t="n">
        <f aca="false">Inputs!$D$30*(1+Inputs!$D$51)^MAX(0,O$6-2026)</f>
        <v>3347.00503999595</v>
      </c>
      <c r="P29" s="42" t="n">
        <f aca="false">Inputs!$D$30*(1+Inputs!$D$51)^MAX(0,P$6-2026)</f>
        <v>3380.47509039591</v>
      </c>
      <c r="Q29" s="42" t="n">
        <f aca="false">Inputs!$D$30*(1+Inputs!$D$51)^MAX(0,Q$6-2026)</f>
        <v>3414.27984129987</v>
      </c>
      <c r="R29" s="42" t="n">
        <f aca="false">Inputs!$D$30*(1+Inputs!$D$51)^MAX(0,R$6-2026)</f>
        <v>3448.42263971287</v>
      </c>
    </row>
    <row r="30" customFormat="false" ht="15" hidden="false" customHeight="false" outlineLevel="0" collapsed="false">
      <c r="A30" s="7" t="s">
        <v>595</v>
      </c>
      <c r="B30" s="17" t="s">
        <v>141</v>
      </c>
      <c r="D30" s="42" t="n">
        <f aca="false">D29*Inputs!$D$31*D24*D27</f>
        <v>0</v>
      </c>
      <c r="E30" s="42" t="n">
        <f aca="false">E29*Inputs!$D$31*E24*E27</f>
        <v>3.37331851693346</v>
      </c>
      <c r="F30" s="42" t="n">
        <f aca="false">F29*Inputs!$D$31*F24*F27</f>
        <v>14.2767200512743</v>
      </c>
      <c r="G30" s="42" t="n">
        <f aca="false">G29*Inputs!$D$31*G24*G27</f>
        <v>29.3418879445714</v>
      </c>
      <c r="H30" s="42" t="n">
        <f aca="false">H29*Inputs!$D$31*H24*H27</f>
        <v>48.4099939259829</v>
      </c>
      <c r="I30" s="42" t="n">
        <f aca="false">I29*Inputs!$D$31*I24*I27</f>
        <v>64.116434811952</v>
      </c>
      <c r="J30" s="42" t="n">
        <f aca="false">J29*Inputs!$D$31*J24*J27</f>
        <v>73.3110927822119</v>
      </c>
      <c r="K30" s="42" t="n">
        <f aca="false">K29*Inputs!$D$31*K24*K27</f>
        <v>77.9002332698897</v>
      </c>
      <c r="L30" s="42" t="n">
        <f aca="false">L29*Inputs!$D$31*L24*L27</f>
        <v>80.2453297008947</v>
      </c>
      <c r="M30" s="42" t="n">
        <f aca="false">M29*Inputs!$D$31*M24*M27</f>
        <v>81.6568981448645</v>
      </c>
      <c r="N30" s="42" t="n">
        <f aca="false">N29*Inputs!$D$31*N24*N27</f>
        <v>82.7064082791132</v>
      </c>
      <c r="O30" s="42" t="n">
        <f aca="false">O29*Inputs!$D$31*O24*O27</f>
        <v>83.6219841747819</v>
      </c>
      <c r="P30" s="42" t="n">
        <f aca="false">P29*Inputs!$D$31*P24*P27</f>
        <v>84.4917548900156</v>
      </c>
      <c r="Q30" s="42" t="n">
        <f aca="false">Q29*Inputs!$D$31*Q24*Q27</f>
        <v>85.3493785062373</v>
      </c>
      <c r="R30" s="42" t="n">
        <f aca="false">R29*Inputs!$D$31*R24*R27</f>
        <v>86.2076825697627</v>
      </c>
    </row>
    <row r="31" customFormat="false" ht="15" hidden="false" customHeight="false" outlineLevel="0" collapsed="false">
      <c r="A31" s="7" t="s">
        <v>596</v>
      </c>
      <c r="B31" s="17" t="s">
        <v>141</v>
      </c>
      <c r="D31" s="42" t="n">
        <f aca="false">D29*(1-Inputs!$D$31)*D25*D28</f>
        <v>0</v>
      </c>
      <c r="E31" s="42" t="n">
        <f aca="false">E29*(1-Inputs!$D$31)*E25*E28</f>
        <v>0</v>
      </c>
      <c r="F31" s="42" t="n">
        <f aca="false">F29*(1-Inputs!$D$31)*F25*F28</f>
        <v>0</v>
      </c>
      <c r="G31" s="42" t="n">
        <f aca="false">G29*(1-Inputs!$D$31)*G25*G28</f>
        <v>5.50579555059812</v>
      </c>
      <c r="H31" s="42" t="n">
        <f aca="false">H29*(1-Inputs!$D$31)*H25*H28</f>
        <v>13.1073139118745</v>
      </c>
      <c r="I31" s="42" t="n">
        <f aca="false">I29*(1-Inputs!$D$31)*I25*I28</f>
        <v>26.9384939030316</v>
      </c>
      <c r="J31" s="42" t="n">
        <f aca="false">J29*(1-Inputs!$D$31)*J25*J28</f>
        <v>44.4447313235056</v>
      </c>
      <c r="K31" s="42" t="n">
        <f aca="false">K29*(1-Inputs!$D$31)*K25*K28</f>
        <v>58.864657636505</v>
      </c>
      <c r="L31" s="42" t="n">
        <f aca="false">L29*(1-Inputs!$D$31)*L25*L28</f>
        <v>67.3061811724209</v>
      </c>
      <c r="M31" s="42" t="n">
        <f aca="false">M29*(1-Inputs!$D$31)*M25*M28</f>
        <v>71.5194251627531</v>
      </c>
      <c r="N31" s="42" t="n">
        <f aca="false">N29*(1-Inputs!$D$31)*N25*N28</f>
        <v>73.6724347450944</v>
      </c>
      <c r="O31" s="42" t="n">
        <f aca="false">O29*(1-Inputs!$D$31)*O25*O28</f>
        <v>74.9683816178187</v>
      </c>
      <c r="P31" s="42" t="n">
        <f aca="false">P29*(1-Inputs!$D$31)*P25*P28</f>
        <v>75.931926376971</v>
      </c>
      <c r="Q31" s="42" t="n">
        <f aca="false">Q29*(1-Inputs!$D$31)*Q25*Q28</f>
        <v>76.7725074510255</v>
      </c>
      <c r="R31" s="42" t="n">
        <f aca="false">R29*(1-Inputs!$D$31)*R25*R28</f>
        <v>77.5710352469744</v>
      </c>
    </row>
    <row r="32" customFormat="false" ht="15" hidden="false" customHeight="false" outlineLevel="0" collapsed="false">
      <c r="A32" s="7" t="s">
        <v>597</v>
      </c>
      <c r="B32" s="17" t="s">
        <v>75</v>
      </c>
      <c r="D32" s="45" t="n">
        <f aca="false">(1+Inputs!$F$75)^MIN(MAX(0,D$6-2027),Inputs!$D$49-2027)*(1+Inputs!$D$50)^MAX(0,D$6-Inputs!$D$49)</f>
        <v>1</v>
      </c>
      <c r="E32" s="45" t="n">
        <f aca="false">(1+Inputs!$F$75)^MIN(MAX(0,E$6-2027),Inputs!$D$49-2027)*(1+Inputs!$D$50)^MAX(0,E$6-Inputs!$D$49)</f>
        <v>1</v>
      </c>
      <c r="F32" s="45" t="n">
        <f aca="false">(1+Inputs!$F$75)^MIN(MAX(0,F$6-2027),Inputs!$D$49-2027)*(1+Inputs!$D$50)^MAX(0,F$6-Inputs!$D$49)</f>
        <v>0.99</v>
      </c>
      <c r="G32" s="45" t="n">
        <f aca="false">(1+Inputs!$F$75)^MIN(MAX(0,G$6-2027),Inputs!$D$49-2027)*(1+Inputs!$D$50)^MAX(0,G$6-Inputs!$D$49)</f>
        <v>0.9801</v>
      </c>
      <c r="H32" s="45" t="n">
        <f aca="false">(1+Inputs!$F$75)^MIN(MAX(0,H$6-2027),Inputs!$D$49-2027)*(1+Inputs!$D$50)^MAX(0,H$6-Inputs!$D$49)</f>
        <v>0.970299</v>
      </c>
      <c r="I32" s="45" t="n">
        <f aca="false">(1+Inputs!$F$75)^MIN(MAX(0,I$6-2027),Inputs!$D$49-2027)*(1+Inputs!$D$50)^MAX(0,I$6-Inputs!$D$49)</f>
        <v>0.96059601</v>
      </c>
      <c r="J32" s="45" t="n">
        <f aca="false">(1+Inputs!$F$75)^MIN(MAX(0,J$6-2027),Inputs!$D$49-2027)*(1+Inputs!$D$50)^MAX(0,J$6-Inputs!$D$49)</f>
        <v>0.9509900499</v>
      </c>
      <c r="K32" s="45" t="n">
        <f aca="false">(1+Inputs!$F$75)^MIN(MAX(0,K$6-2027),Inputs!$D$49-2027)*(1+Inputs!$D$50)^MAX(0,K$6-Inputs!$D$49)</f>
        <v>0.9652549006485</v>
      </c>
      <c r="L32" s="45" t="n">
        <f aca="false">(1+Inputs!$F$75)^MIN(MAX(0,L$6-2027),Inputs!$D$49-2027)*(1+Inputs!$D$50)^MAX(0,L$6-Inputs!$D$49)</f>
        <v>0.979733724158227</v>
      </c>
      <c r="M32" s="45" t="n">
        <f aca="false">(1+Inputs!$F$75)^MIN(MAX(0,M$6-2027),Inputs!$D$49-2027)*(1+Inputs!$D$50)^MAX(0,M$6-Inputs!$D$49)</f>
        <v>0.9944297300206</v>
      </c>
      <c r="N32" s="45" t="n">
        <f aca="false">(1+Inputs!$F$75)^MIN(MAX(0,N$6-2027),Inputs!$D$49-2027)*(1+Inputs!$D$50)^MAX(0,N$6-Inputs!$D$49)</f>
        <v>1.00934617597091</v>
      </c>
      <c r="O32" s="45" t="n">
        <f aca="false">(1+Inputs!$F$75)^MIN(MAX(0,O$6-2027),Inputs!$D$49-2027)*(1+Inputs!$D$50)^MAX(0,O$6-Inputs!$D$49)</f>
        <v>1.02448636861047</v>
      </c>
      <c r="P32" s="45" t="n">
        <f aca="false">(1+Inputs!$F$75)^MIN(MAX(0,P$6-2027),Inputs!$D$49-2027)*(1+Inputs!$D$50)^MAX(0,P$6-Inputs!$D$49)</f>
        <v>1.03985366413963</v>
      </c>
      <c r="Q32" s="45" t="n">
        <f aca="false">(1+Inputs!$F$75)^MIN(MAX(0,Q$6-2027),Inputs!$D$49-2027)*(1+Inputs!$D$50)^MAX(0,Q$6-Inputs!$D$49)</f>
        <v>1.05545146910172</v>
      </c>
      <c r="R32" s="45" t="n">
        <f aca="false">(1+Inputs!$F$75)^MIN(MAX(0,R$6-2027),Inputs!$D$49-2027)*(1+Inputs!$D$50)^MAX(0,R$6-Inputs!$D$49)</f>
        <v>1.07128324113825</v>
      </c>
    </row>
    <row r="33" customFormat="false" ht="15" hidden="false" customHeight="false" outlineLevel="0" collapsed="false">
      <c r="A33" s="7" t="s">
        <v>598</v>
      </c>
      <c r="B33" s="17" t="s">
        <v>116</v>
      </c>
      <c r="D33" s="42" t="n">
        <f aca="false">D30*Inputs!$F$73*D32*12*D7</f>
        <v>0</v>
      </c>
      <c r="E33" s="42" t="n">
        <f aca="false">E30*Inputs!$F$73*E32*12*E7</f>
        <v>202.399111016008</v>
      </c>
      <c r="F33" s="42" t="n">
        <f aca="false">F30*Inputs!$F$73*F32*12*F7</f>
        <v>848.037171045696</v>
      </c>
      <c r="G33" s="42" t="n">
        <f aca="false">G30*Inputs!$F$73*G32*12*G7</f>
        <v>1725.47906246847</v>
      </c>
      <c r="H33" s="42" t="n">
        <f aca="false">H30*Inputs!$F$73*H32*12*H7</f>
        <v>2818.33012178324</v>
      </c>
      <c r="I33" s="42" t="n">
        <f aca="false">I30*Inputs!$F$73*I32*12*I7</f>
        <v>3695.39948734717</v>
      </c>
      <c r="J33" s="42" t="n">
        <f aca="false">J30*Inputs!$F$73*J32*12*J7</f>
        <v>4183.08718699075</v>
      </c>
      <c r="K33" s="42" t="n">
        <f aca="false">K30*Inputs!$F$73*K32*12*K7</f>
        <v>4511.61491552534</v>
      </c>
      <c r="L33" s="42" t="n">
        <f aca="false">L30*Inputs!$F$73*L32*12*L7</f>
        <v>4717.14334284974</v>
      </c>
      <c r="M33" s="42" t="n">
        <f aca="false">M30*Inputs!$F$73*M32*12*M7</f>
        <v>4872.12283059104</v>
      </c>
      <c r="N33" s="42" t="n">
        <f aca="false">N30*Inputs!$F$73*N32*12*N7</f>
        <v>5008.7638154887</v>
      </c>
      <c r="O33" s="42" t="n">
        <f aca="false">O30*Inputs!$F$73*O32*12*O7</f>
        <v>5140.17497419349</v>
      </c>
      <c r="P33" s="42" t="n">
        <f aca="false">P30*Inputs!$F$73*P32*12*P7</f>
        <v>5271.54365471821</v>
      </c>
      <c r="Q33" s="42" t="n">
        <f aca="false">Q30*Inputs!$F$73*Q32*12*Q7</f>
        <v>5404.92761587964</v>
      </c>
      <c r="R33" s="42" t="n">
        <f aca="false">R30*Inputs!$F$73*R32*12*R7</f>
        <v>5541.17073566117</v>
      </c>
    </row>
    <row r="34" customFormat="false" ht="15" hidden="false" customHeight="false" outlineLevel="0" collapsed="false">
      <c r="A34" s="7" t="s">
        <v>599</v>
      </c>
      <c r="B34" s="17" t="s">
        <v>116</v>
      </c>
      <c r="D34" s="42" t="n">
        <f aca="false">D31*Inputs!$F$74*D32*12*D7</f>
        <v>0</v>
      </c>
      <c r="E34" s="42" t="n">
        <f aca="false">E31*Inputs!$F$74*E32*12*E7</f>
        <v>0</v>
      </c>
      <c r="F34" s="42" t="n">
        <f aca="false">F31*Inputs!$F$74*F32*12*F7</f>
        <v>0</v>
      </c>
      <c r="G34" s="42" t="n">
        <f aca="false">G31*Inputs!$F$74*G32*12*G7</f>
        <v>48.566071972271</v>
      </c>
      <c r="H34" s="42" t="n">
        <f aca="false">H31*Inputs!$F$74*H32*12*H7</f>
        <v>114.462122232401</v>
      </c>
      <c r="I34" s="42" t="n">
        <f aca="false">I31*Inputs!$F$74*I32*12*I7</f>
        <v>232.893087827953</v>
      </c>
      <c r="J34" s="42" t="n">
        <f aca="false">J31*Inputs!$F$74*J32*12*J7</f>
        <v>380.398475332194</v>
      </c>
      <c r="K34" s="42" t="n">
        <f aca="false">K31*Inputs!$F$74*K32*12*K7</f>
        <v>511.374593327693</v>
      </c>
      <c r="L34" s="42" t="n">
        <f aca="false">L31*Inputs!$F$74*L32*12*L7</f>
        <v>593.479219850319</v>
      </c>
      <c r="M34" s="42" t="n">
        <f aca="false">M31*Inputs!$F$74*M32*12*M7</f>
        <v>640.089383902426</v>
      </c>
      <c r="N34" s="42" t="n">
        <f aca="false">N31*Inputs!$F$74*N32*12*N7</f>
        <v>669.248912559846</v>
      </c>
      <c r="O34" s="42" t="n">
        <f aca="false">O31*Inputs!$F$74*O32*12*O7</f>
        <v>691.236765398189</v>
      </c>
      <c r="P34" s="42" t="n">
        <f aca="false">P31*Inputs!$F$74*P32*12*P7</f>
        <v>710.622826814465</v>
      </c>
      <c r="Q34" s="42" t="n">
        <f aca="false">Q31*Inputs!$F$74*Q32*12*Q7</f>
        <v>729.266901982272</v>
      </c>
      <c r="R34" s="42" t="n">
        <f aca="false">R31*Inputs!$F$74*R32*12*R7</f>
        <v>747.904950520454</v>
      </c>
    </row>
    <row r="35" customFormat="false" ht="15" hidden="false" customHeight="false" outlineLevel="0" collapsed="false">
      <c r="A35" s="7" t="s">
        <v>600</v>
      </c>
      <c r="B35" s="17" t="s">
        <v>116</v>
      </c>
      <c r="D35" s="42" t="n">
        <f aca="false">IF(D$6=2026,Inputs!$F$78,IF(D$6=2027,Inputs!$F$79,IF(D$6=2028,Inputs!$F$80,IF(D$6=2029,Inputs!$F$81,Inputs!$F$82*(1+Inputs!$F$83)^(D$6-2030)))))</f>
        <v>45</v>
      </c>
      <c r="E35" s="42" t="n">
        <f aca="false">IF(E$6=2026,Inputs!$F$78,IF(E$6=2027,Inputs!$F$79,IF(E$6=2028,Inputs!$F$80,IF(E$6=2029,Inputs!$F$81,Inputs!$F$82*(1+Inputs!$F$83)^(E$6-2030)))))</f>
        <v>100</v>
      </c>
      <c r="F35" s="42" t="n">
        <f aca="false">IF(F$6=2026,Inputs!$F$78,IF(F$6=2027,Inputs!$F$79,IF(F$6=2028,Inputs!$F$80,IF(F$6=2029,Inputs!$F$81,Inputs!$F$82*(1+Inputs!$F$83)^(F$6-2030)))))</f>
        <v>160</v>
      </c>
      <c r="G35" s="42" t="n">
        <f aca="false">IF(G$6=2026,Inputs!$F$78,IF(G$6=2027,Inputs!$F$79,IF(G$6=2028,Inputs!$F$80,IF(G$6=2029,Inputs!$F$81,Inputs!$F$82*(1+Inputs!$F$83)^(G$6-2030)))))</f>
        <v>220</v>
      </c>
      <c r="H35" s="42" t="n">
        <f aca="false">IF(H$6=2026,Inputs!$F$78,IF(H$6=2027,Inputs!$F$79,IF(H$6=2028,Inputs!$F$80,IF(H$6=2029,Inputs!$F$81,Inputs!$F$82*(1+Inputs!$F$83)^(H$6-2030)))))</f>
        <v>280</v>
      </c>
      <c r="I35" s="42" t="n">
        <f aca="false">IF(I$6=2026,Inputs!$F$78,IF(I$6=2027,Inputs!$F$79,IF(I$6=2028,Inputs!$F$80,IF(I$6=2029,Inputs!$F$81,Inputs!$F$82*(1+Inputs!$F$83)^(I$6-2030)))))</f>
        <v>296.8</v>
      </c>
      <c r="J35" s="42" t="n">
        <f aca="false">IF(J$6=2026,Inputs!$F$78,IF(J$6=2027,Inputs!$F$79,IF(J$6=2028,Inputs!$F$80,IF(J$6=2029,Inputs!$F$81,Inputs!$F$82*(1+Inputs!$F$83)^(J$6-2030)))))</f>
        <v>314.608</v>
      </c>
      <c r="K35" s="42" t="n">
        <f aca="false">IF(K$6=2026,Inputs!$F$78,IF(K$6=2027,Inputs!$F$79,IF(K$6=2028,Inputs!$F$80,IF(K$6=2029,Inputs!$F$81,Inputs!$F$82*(1+Inputs!$F$83)^(K$6-2030)))))</f>
        <v>333.48448</v>
      </c>
      <c r="L35" s="42" t="n">
        <f aca="false">IF(L$6=2026,Inputs!$F$78,IF(L$6=2027,Inputs!$F$79,IF(L$6=2028,Inputs!$F$80,IF(L$6=2029,Inputs!$F$81,Inputs!$F$82*(1+Inputs!$F$83)^(L$6-2030)))))</f>
        <v>353.4935488</v>
      </c>
      <c r="M35" s="42" t="n">
        <f aca="false">IF(M$6=2026,Inputs!$F$78,IF(M$6=2027,Inputs!$F$79,IF(M$6=2028,Inputs!$F$80,IF(M$6=2029,Inputs!$F$81,Inputs!$F$82*(1+Inputs!$F$83)^(M$6-2030)))))</f>
        <v>374.703161728</v>
      </c>
      <c r="N35" s="42" t="n">
        <f aca="false">IF(N$6=2026,Inputs!$F$78,IF(N$6=2027,Inputs!$F$79,IF(N$6=2028,Inputs!$F$80,IF(N$6=2029,Inputs!$F$81,Inputs!$F$82*(1+Inputs!$F$83)^(N$6-2030)))))</f>
        <v>397.18535143168</v>
      </c>
      <c r="O35" s="42" t="n">
        <f aca="false">IF(O$6=2026,Inputs!$F$78,IF(O$6=2027,Inputs!$F$79,IF(O$6=2028,Inputs!$F$80,IF(O$6=2029,Inputs!$F$81,Inputs!$F$82*(1+Inputs!$F$83)^(O$6-2030)))))</f>
        <v>421.016472517581</v>
      </c>
      <c r="P35" s="42" t="n">
        <f aca="false">IF(P$6=2026,Inputs!$F$78,IF(P$6=2027,Inputs!$F$79,IF(P$6=2028,Inputs!$F$80,IF(P$6=2029,Inputs!$F$81,Inputs!$F$82*(1+Inputs!$F$83)^(P$6-2030)))))</f>
        <v>446.277460868636</v>
      </c>
      <c r="Q35" s="42" t="n">
        <f aca="false">IF(Q$6=2026,Inputs!$F$78,IF(Q$6=2027,Inputs!$F$79,IF(Q$6=2028,Inputs!$F$80,IF(Q$6=2029,Inputs!$F$81,Inputs!$F$82*(1+Inputs!$F$83)^(Q$6-2030)))))</f>
        <v>473.054108520754</v>
      </c>
      <c r="R35" s="42" t="n">
        <f aca="false">IF(R$6=2026,Inputs!$F$78,IF(R$6=2027,Inputs!$F$79,IF(R$6=2028,Inputs!$F$80,IF(R$6=2029,Inputs!$F$81,Inputs!$F$82*(1+Inputs!$F$83)^(R$6-2030)))))</f>
        <v>501.437355031999</v>
      </c>
    </row>
    <row r="36" customFormat="false" ht="15" hidden="false" customHeight="false" outlineLevel="0" collapsed="false">
      <c r="A36" s="7" t="s">
        <v>601</v>
      </c>
      <c r="B36" s="17" t="s">
        <v>116</v>
      </c>
      <c r="D36" s="16" t="n">
        <f aca="false">IF(D$6=2026,Inputs!$F$84,IF(D$6=2027,Inputs!$F$85,IF(D$6=2028,Inputs!$F$86,Inputs!$F$87)))</f>
        <v>83.7</v>
      </c>
      <c r="E36" s="16" t="n">
        <f aca="false">IF(E$6=2026,Inputs!$F$84,IF(E$6=2027,Inputs!$F$85,IF(E$6=2028,Inputs!$F$86,Inputs!$F$87)))</f>
        <v>120</v>
      </c>
      <c r="F36" s="16" t="n">
        <f aca="false">IF(F$6=2026,Inputs!$F$84,IF(F$6=2027,Inputs!$F$85,IF(F$6=2028,Inputs!$F$86,Inputs!$F$87)))</f>
        <v>80</v>
      </c>
      <c r="G36" s="16" t="n">
        <f aca="false">IF(G$6=2026,Inputs!$F$84,IF(G$6=2027,Inputs!$F$85,IF(G$6=2028,Inputs!$F$86,Inputs!$F$87)))</f>
        <v>40</v>
      </c>
      <c r="H36" s="16" t="n">
        <f aca="false">IF(H$6=2026,Inputs!$F$84,IF(H$6=2027,Inputs!$F$85,IF(H$6=2028,Inputs!$F$86,Inputs!$F$87)))</f>
        <v>40</v>
      </c>
      <c r="I36" s="16" t="n">
        <f aca="false">IF(I$6=2026,Inputs!$F$84,IF(I$6=2027,Inputs!$F$85,IF(I$6=2028,Inputs!$F$86,Inputs!$F$87)))</f>
        <v>40</v>
      </c>
      <c r="J36" s="16" t="n">
        <f aca="false">IF(J$6=2026,Inputs!$F$84,IF(J$6=2027,Inputs!$F$85,IF(J$6=2028,Inputs!$F$86,Inputs!$F$87)))</f>
        <v>40</v>
      </c>
      <c r="K36" s="16" t="n">
        <f aca="false">IF(K$6=2026,Inputs!$F$84,IF(K$6=2027,Inputs!$F$85,IF(K$6=2028,Inputs!$F$86,Inputs!$F$87)))</f>
        <v>40</v>
      </c>
      <c r="L36" s="16" t="n">
        <f aca="false">IF(L$6=2026,Inputs!$F$84,IF(L$6=2027,Inputs!$F$85,IF(L$6=2028,Inputs!$F$86,Inputs!$F$87)))</f>
        <v>40</v>
      </c>
      <c r="M36" s="16" t="n">
        <f aca="false">IF(M$6=2026,Inputs!$F$84,IF(M$6=2027,Inputs!$F$85,IF(M$6=2028,Inputs!$F$86,Inputs!$F$87)))</f>
        <v>40</v>
      </c>
      <c r="N36" s="16" t="n">
        <f aca="false">IF(N$6=2026,Inputs!$F$84,IF(N$6=2027,Inputs!$F$85,IF(N$6=2028,Inputs!$F$86,Inputs!$F$87)))</f>
        <v>40</v>
      </c>
      <c r="O36" s="16" t="n">
        <f aca="false">IF(O$6=2026,Inputs!$F$84,IF(O$6=2027,Inputs!$F$85,IF(O$6=2028,Inputs!$F$86,Inputs!$F$87)))</f>
        <v>40</v>
      </c>
      <c r="P36" s="16" t="n">
        <f aca="false">IF(P$6=2026,Inputs!$F$84,IF(P$6=2027,Inputs!$F$85,IF(P$6=2028,Inputs!$F$86,Inputs!$F$87)))</f>
        <v>40</v>
      </c>
      <c r="Q36" s="16" t="n">
        <f aca="false">IF(Q$6=2026,Inputs!$F$84,IF(Q$6=2027,Inputs!$F$85,IF(Q$6=2028,Inputs!$F$86,Inputs!$F$87)))</f>
        <v>40</v>
      </c>
      <c r="R36" s="16" t="n">
        <f aca="false">IF(R$6=2026,Inputs!$F$84,IF(R$6=2027,Inputs!$F$85,IF(R$6=2028,Inputs!$F$86,Inputs!$F$87)))</f>
        <v>40</v>
      </c>
    </row>
    <row r="37" customFormat="false" ht="15" hidden="false" customHeight="false" outlineLevel="0" collapsed="false">
      <c r="A37" s="3" t="s">
        <v>602</v>
      </c>
      <c r="B37" s="17" t="s">
        <v>116</v>
      </c>
      <c r="D37" s="55" t="n">
        <f aca="false">SUM(D33:D36)</f>
        <v>128.7</v>
      </c>
      <c r="E37" s="55" t="n">
        <f aca="false">SUM(E33:E36)</f>
        <v>422.399111016008</v>
      </c>
      <c r="F37" s="55" t="n">
        <f aca="false">SUM(F33:F36)</f>
        <v>1088.0371710457</v>
      </c>
      <c r="G37" s="55" t="n">
        <f aca="false">SUM(G33:G36)</f>
        <v>2034.04513444074</v>
      </c>
      <c r="H37" s="55" t="n">
        <f aca="false">SUM(H33:H36)</f>
        <v>3252.79224401564</v>
      </c>
      <c r="I37" s="55" t="n">
        <f aca="false">SUM(I33:I36)</f>
        <v>4265.09257517513</v>
      </c>
      <c r="J37" s="55" t="n">
        <f aca="false">SUM(J33:J36)</f>
        <v>4918.09366232295</v>
      </c>
      <c r="K37" s="55" t="n">
        <f aca="false">SUM(K33:K36)</f>
        <v>5396.47398885304</v>
      </c>
      <c r="L37" s="55" t="n">
        <f aca="false">SUM(L33:L36)</f>
        <v>5704.11611150006</v>
      </c>
      <c r="M37" s="55" t="n">
        <f aca="false">SUM(M33:M36)</f>
        <v>5926.91537622146</v>
      </c>
      <c r="N37" s="55" t="n">
        <f aca="false">SUM(N33:N36)</f>
        <v>6115.19807948023</v>
      </c>
      <c r="O37" s="55" t="n">
        <f aca="false">SUM(O33:O36)</f>
        <v>6292.42821210926</v>
      </c>
      <c r="P37" s="55" t="n">
        <f aca="false">SUM(P33:P36)</f>
        <v>6468.44394240131</v>
      </c>
      <c r="Q37" s="55" t="n">
        <f aca="false">SUM(Q33:Q36)</f>
        <v>6647.24862638266</v>
      </c>
      <c r="R37" s="55" t="n">
        <f aca="false">SUM(R33:R36)</f>
        <v>6830.51304121362</v>
      </c>
      <c r="S37" s="54" t="n">
        <f aca="false">R37*(1+Inputs!$D$20)</f>
        <v>7001.27586724396</v>
      </c>
    </row>
    <row r="38" customFormat="false" ht="15" hidden="false" customHeight="false" outlineLevel="0" collapsed="false">
      <c r="A38" s="7" t="s">
        <v>603</v>
      </c>
      <c r="B38" s="17" t="s">
        <v>68</v>
      </c>
      <c r="D38" s="41" t="n">
        <f aca="false">IF(Inputs!$D$36=0,0,(D37/D7)/(Inputs!$D$36/0.5)-1)</f>
        <v>1.78240190249703</v>
      </c>
      <c r="E38" s="41" t="n">
        <f aca="false">IF(D37=0,0,(E37/E7)/(D37/D7)-1)</f>
        <v>0.641022187319378</v>
      </c>
      <c r="F38" s="41" t="n">
        <f aca="false">IF(E37=0,0,(F37/F7)/(E37/E7)-1)</f>
        <v>1.57585099653409</v>
      </c>
      <c r="G38" s="41" t="n">
        <f aca="false">IF(F37=0,0,(G37/G7)/(F37/F7)-1)</f>
        <v>0.869462908593324</v>
      </c>
      <c r="H38" s="41" t="n">
        <f aca="false">IF(G37=0,0,(H37/H7)/(G37/G7)-1)</f>
        <v>0.599174073838825</v>
      </c>
      <c r="I38" s="41" t="n">
        <f aca="false">IF(H37=0,0,(I37/I7)/(H37/H7)-1)</f>
        <v>0.311209648578658</v>
      </c>
      <c r="J38" s="41" t="n">
        <f aca="false">IF(I37=0,0,(J37/J7)/(I37/I7)-1)</f>
        <v>0.153103613963411</v>
      </c>
      <c r="K38" s="41" t="n">
        <f aca="false">IF(J37=0,0,(K37/K7)/(J37/J7)-1)</f>
        <v>0.0972694623924948</v>
      </c>
      <c r="L38" s="41" t="n">
        <f aca="false">IF(K37=0,0,(L37/L7)/(K37/K7)-1)</f>
        <v>0.0570079876753762</v>
      </c>
      <c r="M38" s="41" t="n">
        <f aca="false">IF(L37=0,0,(M37/M7)/(L37/L7)-1)</f>
        <v>0.0390593845507841</v>
      </c>
      <c r="N38" s="41" t="n">
        <f aca="false">IF(M37=0,0,(N37/N7)/(M37/M7)-1)</f>
        <v>0.0317674019801508</v>
      </c>
      <c r="O38" s="41" t="n">
        <f aca="false">IF(N37=0,0,(O37/O7)/(N37/N7)-1)</f>
        <v>0.0289819120044097</v>
      </c>
      <c r="P38" s="41" t="n">
        <f aca="false">IF(O37=0,0,(P37/P7)/(O37/O7)-1)</f>
        <v>0.0279726242968217</v>
      </c>
      <c r="Q38" s="41" t="n">
        <f aca="false">IF(P37=0,0,(Q37/Q7)/(P37/P7)-1)</f>
        <v>0.0276426116657311</v>
      </c>
      <c r="R38" s="41" t="n">
        <f aca="false">IF(Q37=0,0,(R37/R7)/(Q37/Q7)-1)</f>
        <v>0.0275699654295447</v>
      </c>
    </row>
    <row r="39" customFormat="false" ht="15" hidden="false" customHeight="false" outlineLevel="0" collapsed="false">
      <c r="A39" s="7" t="s">
        <v>604</v>
      </c>
      <c r="B39" s="17" t="s">
        <v>141</v>
      </c>
      <c r="D39" s="45" t="n">
        <f aca="false">IF(D17=0,0,(D30+D31)/D17)</f>
        <v>0</v>
      </c>
      <c r="E39" s="45" t="n">
        <f aca="false">IF(E17=0,0,(E30+E31)/E17)</f>
        <v>0.0793722003984345</v>
      </c>
      <c r="F39" s="45" t="n">
        <f aca="false">IF(F17=0,0,(F30+F31)/F17)</f>
        <v>0.190356267350325</v>
      </c>
      <c r="G39" s="45" t="n">
        <f aca="false">IF(G17=0,0,(G30+G31)/G17)</f>
        <v>0.387196483279662</v>
      </c>
      <c r="H39" s="45" t="n">
        <f aca="false">IF(H17=0,0,(H30+H31)/H17)</f>
        <v>0.683525642642859</v>
      </c>
      <c r="I39" s="45" t="n">
        <f aca="false">IF(I17=0,0,(I30+I31)/I17)</f>
        <v>1.01172143016648</v>
      </c>
      <c r="J39" s="45" t="n">
        <f aca="false">IF(J17=0,0,(J30+J31)/J17)</f>
        <v>1.30839804561908</v>
      </c>
      <c r="K39" s="45" t="n">
        <f aca="false">IF(K17=0,0,(K30+K31)/K17)</f>
        <v>1.51960989895994</v>
      </c>
      <c r="L39" s="45" t="n">
        <f aca="false">IF(L17=0,0,(L30+L31)/L17)</f>
        <v>1.63946123192573</v>
      </c>
      <c r="M39" s="45" t="n">
        <f aca="false">IF(M17=0,0,(M30+M31)/M17)</f>
        <v>1.70195914786242</v>
      </c>
      <c r="N39" s="45" t="n">
        <f aca="false">IF(N17=0,0,(N30+N31)/N17)</f>
        <v>1.73754270026897</v>
      </c>
      <c r="O39" s="45" t="n">
        <f aca="false">IF(O17=0,0,(O30+O31)/O17)</f>
        <v>1.76211517547334</v>
      </c>
      <c r="P39" s="45" t="n">
        <f aca="false">IF(P17=0,0,(P30+P31)/P17)</f>
        <v>1.78248534741096</v>
      </c>
      <c r="Q39" s="45" t="n">
        <f aca="false">IF(Q17=0,0,(Q30+Q31)/Q17)</f>
        <v>1.80135428841403</v>
      </c>
      <c r="R39" s="45" t="n">
        <f aca="false">IF(R17=0,0,(R30+R31)/R17)</f>
        <v>1.81976353129708</v>
      </c>
    </row>
    <row r="40" customFormat="false" ht="15" hidden="false" customHeight="false" outlineLevel="0" collapsed="false">
      <c r="A40" s="5" t="s">
        <v>605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customFormat="false" ht="15" hidden="false" customHeight="false" outlineLevel="0" collapsed="false">
      <c r="A41" s="7" t="s">
        <v>606</v>
      </c>
      <c r="B41" s="17" t="s">
        <v>116</v>
      </c>
      <c r="D41" s="42" t="n">
        <f aca="false">D36*(1-Inputs!$D$52)+D35*Inputs!$D$53</f>
        <v>95.265</v>
      </c>
      <c r="E41" s="42" t="n">
        <f aca="false">E36*(1-Inputs!$D$52)+E35*Inputs!$D$53</f>
        <v>149</v>
      </c>
      <c r="F41" s="42" t="n">
        <f aca="false">F36*(1-Inputs!$D$52)+F35*Inputs!$D$53</f>
        <v>132</v>
      </c>
      <c r="G41" s="42" t="n">
        <f aca="false">G36*(1-Inputs!$D$52)+G35*Inputs!$D$53</f>
        <v>115</v>
      </c>
      <c r="H41" s="42" t="n">
        <f aca="false">H36*(1-Inputs!$D$52)+H35*Inputs!$D$53</f>
        <v>136</v>
      </c>
      <c r="I41" s="42" t="n">
        <f aca="false">I36*(1-Inputs!$D$52)+I35*Inputs!$D$53</f>
        <v>141.88</v>
      </c>
      <c r="J41" s="42" t="n">
        <f aca="false">J36*(1-Inputs!$D$52)+J35*Inputs!$D$53</f>
        <v>148.1128</v>
      </c>
      <c r="K41" s="42" t="n">
        <f aca="false">K36*(1-Inputs!$D$52)+K35*Inputs!$D$53</f>
        <v>154.719568</v>
      </c>
      <c r="L41" s="42" t="n">
        <f aca="false">L36*(1-Inputs!$D$52)+L35*Inputs!$D$53</f>
        <v>161.72274208</v>
      </c>
      <c r="M41" s="42" t="n">
        <f aca="false">M36*(1-Inputs!$D$52)+M35*Inputs!$D$53</f>
        <v>169.1461066048</v>
      </c>
      <c r="N41" s="42" t="n">
        <f aca="false">N36*(1-Inputs!$D$52)+N35*Inputs!$D$53</f>
        <v>177.014873001088</v>
      </c>
      <c r="O41" s="42" t="n">
        <f aca="false">O36*(1-Inputs!$D$52)+O35*Inputs!$D$53</f>
        <v>185.355765381153</v>
      </c>
      <c r="P41" s="42" t="n">
        <f aca="false">P36*(1-Inputs!$D$52)+P35*Inputs!$D$53</f>
        <v>194.197111304023</v>
      </c>
      <c r="Q41" s="42" t="n">
        <f aca="false">Q36*(1-Inputs!$D$52)+Q35*Inputs!$D$53</f>
        <v>203.568937982264</v>
      </c>
      <c r="R41" s="42" t="n">
        <f aca="false">R36*(1-Inputs!$D$52)+R35*Inputs!$D$53</f>
        <v>213.5030742612</v>
      </c>
    </row>
    <row r="42" customFormat="false" ht="15" hidden="false" customHeight="false" outlineLevel="0" collapsed="false">
      <c r="A42" s="7" t="s">
        <v>607</v>
      </c>
      <c r="B42" s="17" t="s">
        <v>116</v>
      </c>
      <c r="D42" s="42" t="n">
        <f aca="false">(D33+D34)*Inputs!$F$76</f>
        <v>0</v>
      </c>
      <c r="E42" s="42" t="n">
        <f aca="false">(E33+E34)*Inputs!$F$76</f>
        <v>24.2878933219209</v>
      </c>
      <c r="F42" s="42" t="n">
        <f aca="false">(F33+F34)*Inputs!$F$76</f>
        <v>101.764460525483</v>
      </c>
      <c r="G42" s="42" t="n">
        <f aca="false">(G33+G34)*Inputs!$F$76</f>
        <v>212.885416132889</v>
      </c>
      <c r="H42" s="42" t="n">
        <f aca="false">(H33+H34)*Inputs!$F$76</f>
        <v>351.935069281876</v>
      </c>
      <c r="I42" s="42" t="n">
        <f aca="false">(I33+I34)*Inputs!$F$76</f>
        <v>471.395109021015</v>
      </c>
      <c r="J42" s="42" t="n">
        <f aca="false">(J33+J34)*Inputs!$F$76</f>
        <v>547.618279478754</v>
      </c>
      <c r="K42" s="42" t="n">
        <f aca="false">(K33+K34)*Inputs!$F$76</f>
        <v>602.758741062364</v>
      </c>
      <c r="L42" s="42" t="n">
        <f aca="false">(L33+L34)*Inputs!$F$76</f>
        <v>637.274707524007</v>
      </c>
      <c r="M42" s="42" t="n">
        <f aca="false">(M33+M34)*Inputs!$F$76</f>
        <v>661.465465739216</v>
      </c>
      <c r="N42" s="42" t="n">
        <f aca="false">(N33+N34)*Inputs!$F$76</f>
        <v>681.361527365825</v>
      </c>
      <c r="O42" s="42" t="n">
        <f aca="false">(O33+O34)*Inputs!$F$76</f>
        <v>699.769408751001</v>
      </c>
      <c r="P42" s="42" t="n">
        <f aca="false">(P33+P34)*Inputs!$F$76</f>
        <v>717.859977783921</v>
      </c>
      <c r="Q42" s="42" t="n">
        <f aca="false">(Q33+Q34)*Inputs!$F$76</f>
        <v>736.103342143429</v>
      </c>
      <c r="R42" s="42" t="n">
        <f aca="false">(R33+R34)*Inputs!$F$76</f>
        <v>754.689082341795</v>
      </c>
    </row>
    <row r="43" customFormat="false" ht="15" hidden="false" customHeight="false" outlineLevel="0" collapsed="false">
      <c r="A43" s="7" t="s">
        <v>608</v>
      </c>
      <c r="B43" s="17" t="s">
        <v>116</v>
      </c>
      <c r="D43" s="42" t="n">
        <f aca="false">D33*Inputs!$D$47</f>
        <v>0</v>
      </c>
      <c r="E43" s="42" t="n">
        <f aca="false">E33*Inputs!$D$47</f>
        <v>6.07197333048024</v>
      </c>
      <c r="F43" s="42" t="n">
        <f aca="false">F33*Inputs!$D$47</f>
        <v>25.4411151313709</v>
      </c>
      <c r="G43" s="42" t="n">
        <f aca="false">G33*Inputs!$D$47</f>
        <v>51.764371874054</v>
      </c>
      <c r="H43" s="42" t="n">
        <f aca="false">H33*Inputs!$D$47</f>
        <v>84.549903653497</v>
      </c>
      <c r="I43" s="42" t="n">
        <f aca="false">I33*Inputs!$D$47</f>
        <v>110.861984620415</v>
      </c>
      <c r="J43" s="42" t="n">
        <f aca="false">J33*Inputs!$D$47</f>
        <v>125.492615609723</v>
      </c>
      <c r="K43" s="42" t="n">
        <f aca="false">K33*Inputs!$D$47</f>
        <v>135.34844746576</v>
      </c>
      <c r="L43" s="42" t="n">
        <f aca="false">L33*Inputs!$D$47</f>
        <v>141.514300285492</v>
      </c>
      <c r="M43" s="42" t="n">
        <f aca="false">M33*Inputs!$D$47</f>
        <v>146.163684917731</v>
      </c>
      <c r="N43" s="42" t="n">
        <f aca="false">N33*Inputs!$D$47</f>
        <v>150.262914464661</v>
      </c>
      <c r="O43" s="42" t="n">
        <f aca="false">O33*Inputs!$D$47</f>
        <v>154.205249225805</v>
      </c>
      <c r="P43" s="42" t="n">
        <f aca="false">P33*Inputs!$D$47</f>
        <v>158.146309641546</v>
      </c>
      <c r="Q43" s="42" t="n">
        <f aca="false">Q33*Inputs!$D$47</f>
        <v>162.147828476389</v>
      </c>
      <c r="R43" s="42" t="n">
        <f aca="false">R33*Inputs!$D$47</f>
        <v>166.235122069835</v>
      </c>
    </row>
    <row r="44" customFormat="false" ht="15" hidden="false" customHeight="false" outlineLevel="0" collapsed="false">
      <c r="A44" s="7" t="s">
        <v>609</v>
      </c>
      <c r="B44" s="17" t="s">
        <v>116</v>
      </c>
      <c r="D44" s="42" t="n">
        <f aca="false">IF(D$6&gt;=Inputs!$D$45,Inputs!$D$46*D7,0)</f>
        <v>0</v>
      </c>
      <c r="E44" s="42" t="n">
        <f aca="false">IF(E$6&gt;=Inputs!$D$45,Inputs!$D$46*E7,0)</f>
        <v>100</v>
      </c>
      <c r="F44" s="42" t="n">
        <f aca="false">IF(F$6&gt;=Inputs!$D$45,Inputs!$D$46*F7,0)</f>
        <v>100</v>
      </c>
      <c r="G44" s="42" t="n">
        <f aca="false">IF(G$6&gt;=Inputs!$D$45,Inputs!$D$46*G7,0)</f>
        <v>100</v>
      </c>
      <c r="H44" s="42" t="n">
        <f aca="false">IF(H$6&gt;=Inputs!$D$45,Inputs!$D$46*H7,0)</f>
        <v>100</v>
      </c>
      <c r="I44" s="42" t="n">
        <f aca="false">IF(I$6&gt;=Inputs!$D$45,Inputs!$D$46*I7,0)</f>
        <v>100</v>
      </c>
      <c r="J44" s="42" t="n">
        <f aca="false">IF(J$6&gt;=Inputs!$D$45,Inputs!$D$46*J7,0)</f>
        <v>100</v>
      </c>
      <c r="K44" s="42" t="n">
        <f aca="false">IF(K$6&gt;=Inputs!$D$45,Inputs!$D$46*K7,0)</f>
        <v>100</v>
      </c>
      <c r="L44" s="42" t="n">
        <f aca="false">IF(L$6&gt;=Inputs!$D$45,Inputs!$D$46*L7,0)</f>
        <v>100</v>
      </c>
      <c r="M44" s="42" t="n">
        <f aca="false">IF(M$6&gt;=Inputs!$D$45,Inputs!$D$46*M7,0)</f>
        <v>100</v>
      </c>
      <c r="N44" s="42" t="n">
        <f aca="false">IF(N$6&gt;=Inputs!$D$45,Inputs!$D$46*N7,0)</f>
        <v>100</v>
      </c>
      <c r="O44" s="42" t="n">
        <f aca="false">IF(O$6&gt;=Inputs!$D$45,Inputs!$D$46*O7,0)</f>
        <v>100</v>
      </c>
      <c r="P44" s="42" t="n">
        <f aca="false">IF(P$6&gt;=Inputs!$D$45,Inputs!$D$46*P7,0)</f>
        <v>100</v>
      </c>
      <c r="Q44" s="42" t="n">
        <f aca="false">IF(Q$6&gt;=Inputs!$D$45,Inputs!$D$46*Q7,0)</f>
        <v>100</v>
      </c>
      <c r="R44" s="42" t="n">
        <f aca="false">IF(R$6&gt;=Inputs!$D$45,Inputs!$D$46*R7,0)</f>
        <v>100</v>
      </c>
    </row>
    <row r="45" customFormat="false" ht="15" hidden="false" customHeight="false" outlineLevel="0" collapsed="false">
      <c r="A45" s="7" t="s">
        <v>610</v>
      </c>
      <c r="B45" s="17" t="s">
        <v>116</v>
      </c>
      <c r="D45" s="16" t="n">
        <f aca="false">Inputs!$F$89</f>
        <v>210</v>
      </c>
      <c r="E45" s="42" t="n">
        <f aca="false">IF(E$6=2027,Inputs!$F$90,D45*(1+IF(E$6=2028,Inputs!$F$91,IF(E$6=2029,Inputs!$F$92,IF(E$6=2030,Inputs!$F$93,Inputs!$F$94)))))</f>
        <v>460</v>
      </c>
      <c r="F45" s="42" t="n">
        <f aca="false">IF(F$6=2027,Inputs!$F$90,E45*(1+IF(F$6=2028,Inputs!$F$91,IF(F$6=2029,Inputs!$F$92,IF(F$6=2030,Inputs!$F$93,Inputs!$F$94)))))</f>
        <v>506</v>
      </c>
      <c r="G45" s="42" t="n">
        <f aca="false">IF(G$6=2027,Inputs!$F$90,F45*(1+IF(G$6=2028,Inputs!$F$91,IF(G$6=2029,Inputs!$F$92,IF(G$6=2030,Inputs!$F$93,Inputs!$F$94)))))</f>
        <v>546.48</v>
      </c>
      <c r="H45" s="42" t="n">
        <f aca="false">IF(H$6=2027,Inputs!$F$90,G45*(1+IF(H$6=2028,Inputs!$F$91,IF(H$6=2029,Inputs!$F$92,IF(H$6=2030,Inputs!$F$93,Inputs!$F$94)))))</f>
        <v>579.2688</v>
      </c>
      <c r="I45" s="42" t="n">
        <f aca="false">IF(I$6=2027,Inputs!$F$90,H45*(1+IF(I$6=2028,Inputs!$F$91,IF(I$6=2029,Inputs!$F$92,IF(I$6=2030,Inputs!$F$93,Inputs!$F$94)))))</f>
        <v>599.543208</v>
      </c>
      <c r="J45" s="42" t="n">
        <f aca="false">IF(J$6=2027,Inputs!$F$90,I45*(1+IF(J$6=2028,Inputs!$F$91,IF(J$6=2029,Inputs!$F$92,IF(J$6=2030,Inputs!$F$93,Inputs!$F$94)))))</f>
        <v>620.52722028</v>
      </c>
      <c r="K45" s="42" t="n">
        <f aca="false">IF(K$6=2027,Inputs!$F$90,J45*(1+IF(K$6=2028,Inputs!$F$91,IF(K$6=2029,Inputs!$F$92,IF(K$6=2030,Inputs!$F$93,Inputs!$F$94)))))</f>
        <v>642.2456729898</v>
      </c>
      <c r="L45" s="42" t="n">
        <f aca="false">IF(L$6=2027,Inputs!$F$90,K45*(1+IF(L$6=2028,Inputs!$F$91,IF(L$6=2029,Inputs!$F$92,IF(L$6=2030,Inputs!$F$93,Inputs!$F$94)))))</f>
        <v>664.724271544443</v>
      </c>
      <c r="M45" s="42" t="n">
        <f aca="false">IF(M$6=2027,Inputs!$F$90,L45*(1+IF(M$6=2028,Inputs!$F$91,IF(M$6=2029,Inputs!$F$92,IF(M$6=2030,Inputs!$F$93,Inputs!$F$94)))))</f>
        <v>687.989621048499</v>
      </c>
      <c r="N45" s="42" t="n">
        <f aca="false">IF(N$6=2027,Inputs!$F$90,M45*(1+IF(N$6=2028,Inputs!$F$91,IF(N$6=2029,Inputs!$F$92,IF(N$6=2030,Inputs!$F$93,Inputs!$F$94)))))</f>
        <v>712.069257785196</v>
      </c>
      <c r="O45" s="42" t="n">
        <f aca="false">IF(O$6=2027,Inputs!$F$90,N45*(1+IF(O$6=2028,Inputs!$F$91,IF(O$6=2029,Inputs!$F$92,IF(O$6=2030,Inputs!$F$93,Inputs!$F$94)))))</f>
        <v>736.991681807678</v>
      </c>
      <c r="P45" s="42" t="n">
        <f aca="false">IF(P$6=2027,Inputs!$F$90,O45*(1+IF(P$6=2028,Inputs!$F$91,IF(P$6=2029,Inputs!$F$92,IF(P$6=2030,Inputs!$F$93,Inputs!$F$94)))))</f>
        <v>762.786390670946</v>
      </c>
      <c r="Q45" s="42" t="n">
        <f aca="false">IF(Q$6=2027,Inputs!$F$90,P45*(1+IF(Q$6=2028,Inputs!$F$91,IF(Q$6=2029,Inputs!$F$92,IF(Q$6=2030,Inputs!$F$93,Inputs!$F$94)))))</f>
        <v>789.483914344429</v>
      </c>
      <c r="R45" s="42" t="n">
        <f aca="false">IF(R$6=2027,Inputs!$F$90,Q45*(1+IF(R$6=2028,Inputs!$F$91,IF(R$6=2029,Inputs!$F$92,IF(R$6=2030,Inputs!$F$93,Inputs!$F$94)))))</f>
        <v>817.115851346484</v>
      </c>
    </row>
    <row r="46" customFormat="false" ht="15" hidden="false" customHeight="false" outlineLevel="0" collapsed="false">
      <c r="A46" s="7" t="s">
        <v>611</v>
      </c>
      <c r="B46" s="17" t="s">
        <v>116</v>
      </c>
      <c r="D46" s="42" t="n">
        <f aca="false">D17*Inputs!$D$48*D7</f>
        <v>14.5</v>
      </c>
      <c r="E46" s="42" t="n">
        <f aca="false">E17*Inputs!$D$48*E7</f>
        <v>85</v>
      </c>
      <c r="F46" s="42" t="n">
        <f aca="false">F17*Inputs!$D$48*F7</f>
        <v>150</v>
      </c>
      <c r="G46" s="42" t="n">
        <f aca="false">G17*Inputs!$D$48*G7</f>
        <v>180</v>
      </c>
      <c r="H46" s="42" t="n">
        <f aca="false">H17*Inputs!$D$48*H7</f>
        <v>180</v>
      </c>
      <c r="I46" s="42" t="n">
        <f aca="false">I17*Inputs!$D$48*I7</f>
        <v>180</v>
      </c>
      <c r="J46" s="42" t="n">
        <f aca="false">J17*Inputs!$D$48*J7</f>
        <v>180</v>
      </c>
      <c r="K46" s="42" t="n">
        <f aca="false">K17*Inputs!$D$48*K7</f>
        <v>180</v>
      </c>
      <c r="L46" s="42" t="n">
        <f aca="false">L17*Inputs!$D$48*L7</f>
        <v>180</v>
      </c>
      <c r="M46" s="42" t="n">
        <f aca="false">M17*Inputs!$D$48*M7</f>
        <v>180</v>
      </c>
      <c r="N46" s="42" t="n">
        <f aca="false">N17*Inputs!$D$48*N7</f>
        <v>180</v>
      </c>
      <c r="O46" s="42" t="n">
        <f aca="false">O17*Inputs!$D$48*O7</f>
        <v>180</v>
      </c>
      <c r="P46" s="42" t="n">
        <f aca="false">P17*Inputs!$D$48*P7</f>
        <v>180</v>
      </c>
      <c r="Q46" s="42" t="n">
        <f aca="false">Q17*Inputs!$D$48*Q7</f>
        <v>180</v>
      </c>
      <c r="R46" s="42" t="n">
        <f aca="false">R17*Inputs!$D$48*R7</f>
        <v>180</v>
      </c>
    </row>
    <row r="47" customFormat="false" ht="15" hidden="false" customHeight="false" outlineLevel="0" collapsed="false">
      <c r="A47" s="7" t="s">
        <v>612</v>
      </c>
      <c r="B47" s="17" t="s">
        <v>116</v>
      </c>
      <c r="D47" s="16" t="n">
        <f aca="false">Inputs!$F$95</f>
        <v>120</v>
      </c>
      <c r="E47" s="42" t="n">
        <f aca="false">MAX(Inputs!$F$96*(1-Inputs!$F$97)^MAX(0,E$6-2027),Inputs!$F$98*E37)</f>
        <v>230</v>
      </c>
      <c r="F47" s="42" t="n">
        <f aca="false">MAX(Inputs!$F$96*(1-Inputs!$F$97)^MAX(0,F$6-2027),Inputs!$F$98*F37)</f>
        <v>207</v>
      </c>
      <c r="G47" s="42" t="n">
        <f aca="false">MAX(Inputs!$F$96*(1-Inputs!$F$97)^MAX(0,G$6-2027),Inputs!$F$98*G37)</f>
        <v>186.3</v>
      </c>
      <c r="H47" s="42" t="n">
        <f aca="false">MAX(Inputs!$F$96*(1-Inputs!$F$97)^MAX(0,H$6-2027),Inputs!$F$98*H37)</f>
        <v>167.67</v>
      </c>
      <c r="I47" s="42" t="n">
        <f aca="false">MAX(Inputs!$F$96*(1-Inputs!$F$97)^MAX(0,I$6-2027),Inputs!$F$98*I37)</f>
        <v>150.903</v>
      </c>
      <c r="J47" s="42" t="n">
        <f aca="false">MAX(Inputs!$F$96*(1-Inputs!$F$97)^MAX(0,J$6-2027),Inputs!$F$98*J37)</f>
        <v>172.133278181303</v>
      </c>
      <c r="K47" s="42" t="n">
        <f aca="false">MAX(Inputs!$F$96*(1-Inputs!$F$97)^MAX(0,K$6-2027),Inputs!$F$98*K37)</f>
        <v>188.876589609856</v>
      </c>
      <c r="L47" s="42" t="n">
        <f aca="false">MAX(Inputs!$F$96*(1-Inputs!$F$97)^MAX(0,L$6-2027),Inputs!$F$98*L37)</f>
        <v>199.644063902502</v>
      </c>
      <c r="M47" s="42" t="n">
        <f aca="false">MAX(Inputs!$F$96*(1-Inputs!$F$97)^MAX(0,M$6-2027),Inputs!$F$98*M37)</f>
        <v>207.442038167751</v>
      </c>
      <c r="N47" s="42" t="n">
        <f aca="false">MAX(Inputs!$F$96*(1-Inputs!$F$97)^MAX(0,N$6-2027),Inputs!$F$98*N37)</f>
        <v>214.031932781808</v>
      </c>
      <c r="O47" s="42" t="n">
        <f aca="false">MAX(Inputs!$F$96*(1-Inputs!$F$97)^MAX(0,O$6-2027),Inputs!$F$98*O37)</f>
        <v>220.234987423824</v>
      </c>
      <c r="P47" s="42" t="n">
        <f aca="false">MAX(Inputs!$F$96*(1-Inputs!$F$97)^MAX(0,P$6-2027),Inputs!$F$98*P37)</f>
        <v>226.395537984046</v>
      </c>
      <c r="Q47" s="42" t="n">
        <f aca="false">MAX(Inputs!$F$96*(1-Inputs!$F$97)^MAX(0,Q$6-2027),Inputs!$F$98*Q37)</f>
        <v>232.653701923393</v>
      </c>
      <c r="R47" s="42" t="n">
        <f aca="false">MAX(Inputs!$F$96*(1-Inputs!$F$97)^MAX(0,R$6-2027),Inputs!$F$98*R37)</f>
        <v>239.067956442477</v>
      </c>
    </row>
    <row r="48" customFormat="false" ht="15" hidden="false" customHeight="false" outlineLevel="0" collapsed="false">
      <c r="A48" s="3" t="s">
        <v>613</v>
      </c>
      <c r="B48" s="17" t="s">
        <v>116</v>
      </c>
      <c r="D48" s="55" t="n">
        <f aca="false">SUM(D41:D47)</f>
        <v>439.765</v>
      </c>
      <c r="E48" s="55" t="n">
        <f aca="false">SUM(E41:E47)</f>
        <v>1054.3598666524</v>
      </c>
      <c r="F48" s="55" t="n">
        <f aca="false">SUM(F41:F47)</f>
        <v>1222.20557565685</v>
      </c>
      <c r="G48" s="55" t="n">
        <f aca="false">SUM(G41:G47)</f>
        <v>1392.42978800694</v>
      </c>
      <c r="H48" s="55" t="n">
        <f aca="false">SUM(H41:H47)</f>
        <v>1599.42377293537</v>
      </c>
      <c r="I48" s="55" t="n">
        <f aca="false">SUM(I41:I47)</f>
        <v>1754.58330164143</v>
      </c>
      <c r="J48" s="55" t="n">
        <f aca="false">SUM(J41:J47)</f>
        <v>1893.88419354978</v>
      </c>
      <c r="K48" s="55" t="n">
        <f aca="false">SUM(K41:K47)</f>
        <v>2003.94901912778</v>
      </c>
      <c r="L48" s="55" t="n">
        <f aca="false">SUM(L41:L47)</f>
        <v>2084.88008533644</v>
      </c>
      <c r="M48" s="55" t="n">
        <f aca="false">SUM(M41:M47)</f>
        <v>2152.206916478</v>
      </c>
      <c r="N48" s="55" t="n">
        <f aca="false">SUM(N41:N47)</f>
        <v>2214.74050539858</v>
      </c>
      <c r="O48" s="55" t="n">
        <f aca="false">SUM(O41:O47)</f>
        <v>2276.55709258946</v>
      </c>
      <c r="P48" s="55" t="n">
        <f aca="false">SUM(P41:P47)</f>
        <v>2339.38532738448</v>
      </c>
      <c r="Q48" s="55" t="n">
        <f aca="false">SUM(Q41:Q47)</f>
        <v>2403.9577248699</v>
      </c>
      <c r="R48" s="55" t="n">
        <f aca="false">SUM(R41:R47)</f>
        <v>2470.61108646179</v>
      </c>
    </row>
    <row r="49" customFormat="false" ht="15" hidden="false" customHeight="false" outlineLevel="0" collapsed="false">
      <c r="A49" s="3" t="s">
        <v>614</v>
      </c>
      <c r="B49" s="17" t="s">
        <v>116</v>
      </c>
      <c r="D49" s="55" t="n">
        <f aca="false">D37-D48</f>
        <v>-311.065</v>
      </c>
      <c r="E49" s="55" t="n">
        <f aca="false">E37-E48</f>
        <v>-631.960755636393</v>
      </c>
      <c r="F49" s="55" t="n">
        <f aca="false">F37-F48</f>
        <v>-134.168404611159</v>
      </c>
      <c r="G49" s="55" t="n">
        <f aca="false">G37-G48</f>
        <v>641.615346433796</v>
      </c>
      <c r="H49" s="55" t="n">
        <f aca="false">H37-H48</f>
        <v>1653.36847108026</v>
      </c>
      <c r="I49" s="55" t="n">
        <f aca="false">I37-I48</f>
        <v>2510.5092735337</v>
      </c>
      <c r="J49" s="55" t="n">
        <f aca="false">J37-J48</f>
        <v>3024.20946877317</v>
      </c>
      <c r="K49" s="55" t="n">
        <f aca="false">K37-K48</f>
        <v>3392.52496972526</v>
      </c>
      <c r="L49" s="55" t="n">
        <f aca="false">L37-L48</f>
        <v>3619.23602616361</v>
      </c>
      <c r="M49" s="55" t="n">
        <f aca="false">M37-M48</f>
        <v>3774.70845974347</v>
      </c>
      <c r="N49" s="55" t="n">
        <f aca="false">N37-N48</f>
        <v>3900.45757408165</v>
      </c>
      <c r="O49" s="55" t="n">
        <f aca="false">O37-O48</f>
        <v>4015.8711195198</v>
      </c>
      <c r="P49" s="55" t="n">
        <f aca="false">P37-P48</f>
        <v>4129.05861501683</v>
      </c>
      <c r="Q49" s="55" t="n">
        <f aca="false">Q37-Q48</f>
        <v>4243.29090151276</v>
      </c>
      <c r="R49" s="55" t="n">
        <f aca="false">R37-R48</f>
        <v>4359.90195475183</v>
      </c>
      <c r="S49" s="54" t="n">
        <f aca="false">R49*(1+Inputs!$D$20)</f>
        <v>4468.89950362062</v>
      </c>
    </row>
    <row r="50" customFormat="false" ht="15" hidden="false" customHeight="false" outlineLevel="0" collapsed="false">
      <c r="A50" s="7" t="s">
        <v>615</v>
      </c>
      <c r="B50" s="17" t="s">
        <v>68</v>
      </c>
      <c r="D50" s="41" t="n">
        <f aca="false">IF(D37=0,0,D49/D37)</f>
        <v>-2.41697746697747</v>
      </c>
      <c r="E50" s="41" t="n">
        <f aca="false">IF(E37=0,0,E49/E37)</f>
        <v>-1.49612236189684</v>
      </c>
      <c r="F50" s="41" t="n">
        <f aca="false">IF(F37=0,0,F49/F37)</f>
        <v>-0.123312335443661</v>
      </c>
      <c r="G50" s="41" t="n">
        <f aca="false">IF(G37=0,0,G49/G37)</f>
        <v>0.315438106839359</v>
      </c>
      <c r="H50" s="41" t="n">
        <f aca="false">IF(H37=0,0,H49/H37)</f>
        <v>0.508292060189847</v>
      </c>
      <c r="I50" s="41" t="n">
        <f aca="false">IF(I37=0,0,I49/I37)</f>
        <v>0.588617768380001</v>
      </c>
      <c r="J50" s="41" t="n">
        <f aca="false">IF(J37=0,0,J49/J37)</f>
        <v>0.614914980562764</v>
      </c>
      <c r="K50" s="41" t="n">
        <f aca="false">IF(K37=0,0,K49/K37)</f>
        <v>0.628655855051439</v>
      </c>
      <c r="L50" s="41" t="n">
        <f aca="false">IF(L37=0,0,L49/L37)</f>
        <v>0.634495503846228</v>
      </c>
      <c r="M50" s="41" t="n">
        <f aca="false">IF(M37=0,0,M49/M37)</f>
        <v>0.63687571361107</v>
      </c>
      <c r="N50" s="41" t="n">
        <f aca="false">IF(N37=0,0,N49/N37)</f>
        <v>0.63783012804929</v>
      </c>
      <c r="O50" s="41" t="n">
        <f aca="false">IF(O37=0,0,O49/O37)</f>
        <v>0.6382069026694</v>
      </c>
      <c r="P50" s="41" t="n">
        <f aca="false">IF(P37=0,0,P49/P37)</f>
        <v>0.638338780050396</v>
      </c>
      <c r="Q50" s="41" t="n">
        <f aca="false">IF(Q37=0,0,Q49/Q37)</f>
        <v>0.638352969779302</v>
      </c>
      <c r="R50" s="41" t="n">
        <f aca="false">IF(R37=0,0,R49/R37)</f>
        <v>0.638297874324412</v>
      </c>
    </row>
    <row r="51" customFormat="false" ht="15" hidden="false" customHeight="false" outlineLevel="0" collapsed="false">
      <c r="A51" s="5" t="s">
        <v>616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customFormat="false" ht="15" hidden="false" customHeight="false" outlineLevel="0" collapsed="false">
      <c r="A52" s="7" t="s">
        <v>617</v>
      </c>
      <c r="B52" s="17" t="s">
        <v>116</v>
      </c>
      <c r="D52" s="42" t="n">
        <f aca="false">IF(D$6=2026,Inputs!$F$100,IF(D$6=2027,Inputs!$F$101,IF(D$6=2028,Inputs!$F$102,MAX(Inputs!$F$104,Inputs!$F$103*D37))))</f>
        <v>150</v>
      </c>
      <c r="E52" s="42" t="n">
        <f aca="false">IF(E$6=2026,Inputs!$F$100,IF(E$6=2027,Inputs!$F$101,IF(E$6=2028,Inputs!$F$102,MAX(Inputs!$F$104,Inputs!$F$103*E37))))</f>
        <v>200</v>
      </c>
      <c r="F52" s="42" t="n">
        <f aca="false">IF(F$6=2026,Inputs!$F$100,IF(F$6=2027,Inputs!$F$101,IF(F$6=2028,Inputs!$F$102,MAX(Inputs!$F$104,Inputs!$F$103*F37))))</f>
        <v>150</v>
      </c>
      <c r="G52" s="42" t="n">
        <f aca="false">IF(G$6=2026,Inputs!$F$100,IF(G$6=2027,Inputs!$F$101,IF(G$6=2028,Inputs!$F$102,MAX(Inputs!$F$104,Inputs!$F$103*G37))))</f>
        <v>80</v>
      </c>
      <c r="H52" s="42" t="n">
        <f aca="false">IF(H$6=2026,Inputs!$F$100,IF(H$6=2027,Inputs!$F$101,IF(H$6=2028,Inputs!$F$102,MAX(Inputs!$F$104,Inputs!$F$103*H37))))</f>
        <v>97.5837673204691</v>
      </c>
      <c r="I52" s="42" t="n">
        <f aca="false">IF(I$6=2026,Inputs!$F$100,IF(I$6=2027,Inputs!$F$101,IF(I$6=2028,Inputs!$F$102,MAX(Inputs!$F$104,Inputs!$F$103*I37))))</f>
        <v>127.952777255254</v>
      </c>
      <c r="J52" s="42" t="n">
        <f aca="false">IF(J$6=2026,Inputs!$F$100,IF(J$6=2027,Inputs!$F$101,IF(J$6=2028,Inputs!$F$102,MAX(Inputs!$F$104,Inputs!$F$103*J37))))</f>
        <v>147.542809869688</v>
      </c>
      <c r="K52" s="42" t="n">
        <f aca="false">IF(K$6=2026,Inputs!$F$100,IF(K$6=2027,Inputs!$F$101,IF(K$6=2028,Inputs!$F$102,MAX(Inputs!$F$104,Inputs!$F$103*K37))))</f>
        <v>161.894219665591</v>
      </c>
      <c r="L52" s="42" t="n">
        <f aca="false">IF(L$6=2026,Inputs!$F$100,IF(L$6=2027,Inputs!$F$101,IF(L$6=2028,Inputs!$F$102,MAX(Inputs!$F$104,Inputs!$F$103*L37))))</f>
        <v>171.123483345002</v>
      </c>
      <c r="M52" s="42" t="n">
        <f aca="false">IF(M$6=2026,Inputs!$F$100,IF(M$6=2027,Inputs!$F$101,IF(M$6=2028,Inputs!$F$102,MAX(Inputs!$F$104,Inputs!$F$103*M37))))</f>
        <v>177.807461286644</v>
      </c>
      <c r="N52" s="42" t="n">
        <f aca="false">IF(N$6=2026,Inputs!$F$100,IF(N$6=2027,Inputs!$F$101,IF(N$6=2028,Inputs!$F$102,MAX(Inputs!$F$104,Inputs!$F$103*N37))))</f>
        <v>183.455942384407</v>
      </c>
      <c r="O52" s="42" t="n">
        <f aca="false">IF(O$6=2026,Inputs!$F$100,IF(O$6=2027,Inputs!$F$101,IF(O$6=2028,Inputs!$F$102,MAX(Inputs!$F$104,Inputs!$F$103*O37))))</f>
        <v>188.772846363278</v>
      </c>
      <c r="P52" s="42" t="n">
        <f aca="false">IF(P$6=2026,Inputs!$F$100,IF(P$6=2027,Inputs!$F$101,IF(P$6=2028,Inputs!$F$102,MAX(Inputs!$F$104,Inputs!$F$103*P37))))</f>
        <v>194.053318272039</v>
      </c>
      <c r="Q52" s="42" t="n">
        <f aca="false">IF(Q$6=2026,Inputs!$F$100,IF(Q$6=2027,Inputs!$F$101,IF(Q$6=2028,Inputs!$F$102,MAX(Inputs!$F$104,Inputs!$F$103*Q37))))</f>
        <v>199.41745879148</v>
      </c>
      <c r="R52" s="42" t="n">
        <f aca="false">IF(R$6=2026,Inputs!$F$100,IF(R$6=2027,Inputs!$F$101,IF(R$6=2028,Inputs!$F$102,MAX(Inputs!$F$104,Inputs!$F$103*R37))))</f>
        <v>204.915391236409</v>
      </c>
    </row>
    <row r="53" customFormat="false" ht="15" hidden="false" customHeight="false" outlineLevel="0" collapsed="false">
      <c r="A53" s="7" t="s">
        <v>180</v>
      </c>
      <c r="B53" s="17" t="s">
        <v>116</v>
      </c>
      <c r="D53" s="16" t="n">
        <f aca="false">IF(D$6=Inputs!$D$45,Inputs!$D$44,0)</f>
        <v>0</v>
      </c>
      <c r="E53" s="16" t="n">
        <f aca="false">IF(E$6=Inputs!$D$45,Inputs!$D$44,0)</f>
        <v>550</v>
      </c>
      <c r="F53" s="16" t="n">
        <f aca="false">IF(F$6=Inputs!$D$45,Inputs!$D$44,0)</f>
        <v>0</v>
      </c>
      <c r="G53" s="16" t="n">
        <f aca="false">IF(G$6=Inputs!$D$45,Inputs!$D$44,0)</f>
        <v>0</v>
      </c>
      <c r="H53" s="16" t="n">
        <f aca="false">IF(H$6=Inputs!$D$45,Inputs!$D$44,0)</f>
        <v>0</v>
      </c>
      <c r="I53" s="16" t="n">
        <f aca="false">IF(I$6=Inputs!$D$45,Inputs!$D$44,0)</f>
        <v>0</v>
      </c>
      <c r="J53" s="16" t="n">
        <f aca="false">IF(J$6=Inputs!$D$45,Inputs!$D$44,0)</f>
        <v>0</v>
      </c>
      <c r="K53" s="16" t="n">
        <f aca="false">IF(K$6=Inputs!$D$45,Inputs!$D$44,0)</f>
        <v>0</v>
      </c>
      <c r="L53" s="16" t="n">
        <f aca="false">IF(L$6=Inputs!$D$45,Inputs!$D$44,0)</f>
        <v>0</v>
      </c>
      <c r="M53" s="16" t="n">
        <f aca="false">IF(M$6=Inputs!$D$45,Inputs!$D$44,0)</f>
        <v>0</v>
      </c>
      <c r="N53" s="16" t="n">
        <f aca="false">IF(N$6=Inputs!$D$45,Inputs!$D$44,0)</f>
        <v>0</v>
      </c>
      <c r="O53" s="16" t="n">
        <f aca="false">IF(O$6=Inputs!$D$45,Inputs!$D$44,0)</f>
        <v>0</v>
      </c>
      <c r="P53" s="16" t="n">
        <f aca="false">IF(P$6=Inputs!$D$45,Inputs!$D$44,0)</f>
        <v>0</v>
      </c>
      <c r="Q53" s="16" t="n">
        <f aca="false">IF(Q$6=Inputs!$D$45,Inputs!$D$44,0)</f>
        <v>0</v>
      </c>
      <c r="R53" s="16" t="n">
        <f aca="false">IF(R$6=Inputs!$D$45,Inputs!$D$44,0)</f>
        <v>0</v>
      </c>
    </row>
    <row r="54" customFormat="false" ht="15" hidden="false" customHeight="false" outlineLevel="0" collapsed="false">
      <c r="A54" s="7" t="s">
        <v>618</v>
      </c>
      <c r="B54" s="17" t="s">
        <v>116</v>
      </c>
      <c r="D54" s="16" t="n">
        <f aca="false">IF(D$6=2028,Inputs!$F$105,0)</f>
        <v>0</v>
      </c>
      <c r="E54" s="16" t="n">
        <f aca="false">IF(E$6=2028,Inputs!$F$105,0)</f>
        <v>0</v>
      </c>
      <c r="F54" s="16" t="n">
        <f aca="false">IF(F$6=2028,Inputs!$F$105,0)</f>
        <v>0</v>
      </c>
      <c r="G54" s="16" t="n">
        <f aca="false">IF(G$6=2028,Inputs!$F$105,0)</f>
        <v>0</v>
      </c>
      <c r="H54" s="16" t="n">
        <f aca="false">IF(H$6=2028,Inputs!$F$105,0)</f>
        <v>0</v>
      </c>
      <c r="I54" s="16" t="n">
        <f aca="false">IF(I$6=2028,Inputs!$F$105,0)</f>
        <v>0</v>
      </c>
      <c r="J54" s="16" t="n">
        <f aca="false">IF(J$6=2028,Inputs!$F$105,0)</f>
        <v>0</v>
      </c>
      <c r="K54" s="16" t="n">
        <f aca="false">IF(K$6=2028,Inputs!$F$105,0)</f>
        <v>0</v>
      </c>
      <c r="L54" s="16" t="n">
        <f aca="false">IF(L$6=2028,Inputs!$F$105,0)</f>
        <v>0</v>
      </c>
      <c r="M54" s="16" t="n">
        <f aca="false">IF(M$6=2028,Inputs!$F$105,0)</f>
        <v>0</v>
      </c>
      <c r="N54" s="16" t="n">
        <f aca="false">IF(N$6=2028,Inputs!$F$105,0)</f>
        <v>0</v>
      </c>
      <c r="O54" s="16" t="n">
        <f aca="false">IF(O$6=2028,Inputs!$F$105,0)</f>
        <v>0</v>
      </c>
      <c r="P54" s="16" t="n">
        <f aca="false">IF(P$6=2028,Inputs!$F$105,0)</f>
        <v>0</v>
      </c>
      <c r="Q54" s="16" t="n">
        <f aca="false">IF(Q$6=2028,Inputs!$F$105,0)</f>
        <v>0</v>
      </c>
      <c r="R54" s="16" t="n">
        <f aca="false">IF(R$6=2028,Inputs!$F$105,0)</f>
        <v>0</v>
      </c>
    </row>
    <row r="55" customFormat="false" ht="15" hidden="false" customHeight="false" outlineLevel="0" collapsed="false">
      <c r="A55" s="5" t="s">
        <v>619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customFormat="false" ht="15" hidden="false" customHeight="false" outlineLevel="0" collapsed="false">
      <c r="A56" s="7" t="s">
        <v>620</v>
      </c>
      <c r="B56" s="17" t="s">
        <v>116</v>
      </c>
      <c r="D56" s="42" t="n">
        <f aca="false">D19+D52</f>
        <v>636.315789473684</v>
      </c>
      <c r="E56" s="42" t="n">
        <f aca="false">E19+E52</f>
        <v>1010.52631578947</v>
      </c>
      <c r="F56" s="42" t="n">
        <f aca="false">F19+F52</f>
        <v>844.736842105263</v>
      </c>
      <c r="G56" s="42" t="n">
        <f aca="false">G19+G52</f>
        <v>80</v>
      </c>
      <c r="H56" s="42" t="n">
        <f aca="false">H19+H52</f>
        <v>97.5837673204691</v>
      </c>
      <c r="I56" s="42" t="n">
        <f aca="false">I19+I52</f>
        <v>127.952777255254</v>
      </c>
      <c r="J56" s="42" t="n">
        <f aca="false">J19+J52</f>
        <v>147.542809869688</v>
      </c>
      <c r="K56" s="42" t="n">
        <f aca="false">K19+K52</f>
        <v>801.098895202433</v>
      </c>
      <c r="L56" s="42" t="n">
        <f aca="false">L19+L52</f>
        <v>1083.90776001161</v>
      </c>
      <c r="M56" s="42" t="n">
        <f aca="false">M19+M52</f>
        <v>975.841714600881</v>
      </c>
      <c r="N56" s="42" t="n">
        <f aca="false">N19+N52</f>
        <v>183.455942384407</v>
      </c>
      <c r="O56" s="42" t="n">
        <f aca="false">O19+O52</f>
        <v>188.772846363278</v>
      </c>
      <c r="P56" s="42" t="n">
        <f aca="false">P19+P52</f>
        <v>194.053318272039</v>
      </c>
      <c r="Q56" s="42" t="n">
        <f aca="false">Q19+Q52</f>
        <v>199.41745879148</v>
      </c>
      <c r="R56" s="42" t="n">
        <f aca="false">R19+R52</f>
        <v>939.160640719988</v>
      </c>
    </row>
    <row r="57" customFormat="false" ht="15" hidden="false" customHeight="false" outlineLevel="0" collapsed="false">
      <c r="A57" s="7" t="s">
        <v>621</v>
      </c>
      <c r="B57" s="17" t="s">
        <v>116</v>
      </c>
      <c r="D57" s="42" t="n">
        <f aca="false">IF(Inputs!$D$25=1,D56,SUMIFS($D$56:D56,$D$6:D6,"&gt;"&amp;(D$6-ROUND(Inputs!$D$26,0)))/ROUND(Inputs!$D$26,0)*D7)</f>
        <v>636.315789473684</v>
      </c>
      <c r="E57" s="42" t="n">
        <f aca="false">IF(Inputs!$D$25=1,E56,SUMIFS($D$56:E56,$D$6:E6,"&gt;"&amp;(E$6-ROUND(Inputs!$D$26,0)))/ROUND(Inputs!$D$26,0)*E7)</f>
        <v>1010.52631578947</v>
      </c>
      <c r="F57" s="42" t="n">
        <f aca="false">IF(Inputs!$D$25=1,F56,SUMIFS($D$56:F56,$D$6:F6,"&gt;"&amp;(F$6-ROUND(Inputs!$D$26,0)))/ROUND(Inputs!$D$26,0)*F7)</f>
        <v>844.736842105263</v>
      </c>
      <c r="G57" s="42" t="n">
        <f aca="false">IF(Inputs!$D$25=1,G56,SUMIFS($D$56:G56,$D$6:G6,"&gt;"&amp;(G$6-ROUND(Inputs!$D$26,0)))/ROUND(Inputs!$D$26,0)*G7)</f>
        <v>80</v>
      </c>
      <c r="H57" s="42" t="n">
        <f aca="false">IF(Inputs!$D$25=1,H56,SUMIFS($D$56:H56,$D$6:H6,"&gt;"&amp;(H$6-ROUND(Inputs!$D$26,0)))/ROUND(Inputs!$D$26,0)*H7)</f>
        <v>97.5837673204691</v>
      </c>
      <c r="I57" s="42" t="n">
        <f aca="false">IF(Inputs!$D$25=1,I56,SUMIFS($D$56:I56,$D$6:I6,"&gt;"&amp;(I$6-ROUND(Inputs!$D$26,0)))/ROUND(Inputs!$D$26,0)*I7)</f>
        <v>127.952777255254</v>
      </c>
      <c r="J57" s="42" t="n">
        <f aca="false">IF(Inputs!$D$25=1,J56,SUMIFS($D$56:J56,$D$6:J6,"&gt;"&amp;(J$6-ROUND(Inputs!$D$26,0)))/ROUND(Inputs!$D$26,0)*J7)</f>
        <v>147.542809869688</v>
      </c>
      <c r="K57" s="42" t="n">
        <f aca="false">IF(Inputs!$D$25=1,K56,SUMIFS($D$56:K56,$D$6:K6,"&gt;"&amp;(K$6-ROUND(Inputs!$D$26,0)))/ROUND(Inputs!$D$26,0)*K7)</f>
        <v>801.098895202433</v>
      </c>
      <c r="L57" s="42" t="n">
        <f aca="false">IF(Inputs!$D$25=1,L56,SUMIFS($D$56:L56,$D$6:L6,"&gt;"&amp;(L$6-ROUND(Inputs!$D$26,0)))/ROUND(Inputs!$D$26,0)*L7)</f>
        <v>1083.90776001161</v>
      </c>
      <c r="M57" s="42" t="n">
        <f aca="false">IF(Inputs!$D$25=1,M56,SUMIFS($D$56:M56,$D$6:M6,"&gt;"&amp;(M$6-ROUND(Inputs!$D$26,0)))/ROUND(Inputs!$D$26,0)*M7)</f>
        <v>975.841714600881</v>
      </c>
      <c r="N57" s="42" t="n">
        <f aca="false">IF(Inputs!$D$25=1,N56,SUMIFS($D$56:N56,$D$6:N6,"&gt;"&amp;(N$6-ROUND(Inputs!$D$26,0)))/ROUND(Inputs!$D$26,0)*N7)</f>
        <v>183.455942384407</v>
      </c>
      <c r="O57" s="42" t="n">
        <f aca="false">IF(Inputs!$D$25=1,O56,SUMIFS($D$56:O56,$D$6:O6,"&gt;"&amp;(O$6-ROUND(Inputs!$D$26,0)))/ROUND(Inputs!$D$26,0)*O7)</f>
        <v>188.772846363278</v>
      </c>
      <c r="P57" s="42" t="n">
        <f aca="false">IF(Inputs!$D$25=1,P56,SUMIFS($D$56:P56,$D$6:P6,"&gt;"&amp;(P$6-ROUND(Inputs!$D$26,0)))/ROUND(Inputs!$D$26,0)*P7)</f>
        <v>194.053318272039</v>
      </c>
      <c r="Q57" s="42" t="n">
        <f aca="false">IF(Inputs!$D$25=1,Q56,SUMIFS($D$56:Q56,$D$6:Q6,"&gt;"&amp;(Q$6-ROUND(Inputs!$D$26,0)))/ROUND(Inputs!$D$26,0)*Q7)</f>
        <v>199.41745879148</v>
      </c>
      <c r="R57" s="42" t="n">
        <f aca="false">IF(Inputs!$D$25=1,R56,SUMIFS($D$56:R56,$D$6:R6,"&gt;"&amp;(R$6-ROUND(Inputs!$D$26,0)))/ROUND(Inputs!$D$26,0)*R7)</f>
        <v>939.160640719988</v>
      </c>
    </row>
    <row r="58" customFormat="false" ht="15" hidden="false" customHeight="false" outlineLevel="0" collapsed="false">
      <c r="A58" s="7" t="s">
        <v>622</v>
      </c>
      <c r="B58" s="17" t="s">
        <v>116</v>
      </c>
      <c r="D58" s="42" t="n">
        <f aca="false">IF(AND(D$6&gt;=Inputs!$D$45,D$6&lt;Inputs!$D$45+15),Inputs!$D$44/15*D7,0)</f>
        <v>0</v>
      </c>
      <c r="E58" s="42" t="n">
        <f aca="false">IF(AND(E$6&gt;=Inputs!$D$45,E$6&lt;Inputs!$D$45+15),Inputs!$D$44/15*E7,0)</f>
        <v>36.6666666666667</v>
      </c>
      <c r="F58" s="42" t="n">
        <f aca="false">IF(AND(F$6&gt;=Inputs!$D$45,F$6&lt;Inputs!$D$45+15),Inputs!$D$44/15*F7,0)</f>
        <v>36.6666666666667</v>
      </c>
      <c r="G58" s="42" t="n">
        <f aca="false">IF(AND(G$6&gt;=Inputs!$D$45,G$6&lt;Inputs!$D$45+15),Inputs!$D$44/15*G7,0)</f>
        <v>36.6666666666667</v>
      </c>
      <c r="H58" s="42" t="n">
        <f aca="false">IF(AND(H$6&gt;=Inputs!$D$45,H$6&lt;Inputs!$D$45+15),Inputs!$D$44/15*H7,0)</f>
        <v>36.6666666666667</v>
      </c>
      <c r="I58" s="42" t="n">
        <f aca="false">IF(AND(I$6&gt;=Inputs!$D$45,I$6&lt;Inputs!$D$45+15),Inputs!$D$44/15*I7,0)</f>
        <v>36.6666666666667</v>
      </c>
      <c r="J58" s="42" t="n">
        <f aca="false">IF(AND(J$6&gt;=Inputs!$D$45,J$6&lt;Inputs!$D$45+15),Inputs!$D$44/15*J7,0)</f>
        <v>36.6666666666667</v>
      </c>
      <c r="K58" s="42" t="n">
        <f aca="false">IF(AND(K$6&gt;=Inputs!$D$45,K$6&lt;Inputs!$D$45+15),Inputs!$D$44/15*K7,0)</f>
        <v>36.6666666666667</v>
      </c>
      <c r="L58" s="42" t="n">
        <f aca="false">IF(AND(L$6&gt;=Inputs!$D$45,L$6&lt;Inputs!$D$45+15),Inputs!$D$44/15*L7,0)</f>
        <v>36.6666666666667</v>
      </c>
      <c r="M58" s="42" t="n">
        <f aca="false">IF(AND(M$6&gt;=Inputs!$D$45,M$6&lt;Inputs!$D$45+15),Inputs!$D$44/15*M7,0)</f>
        <v>36.6666666666667</v>
      </c>
      <c r="N58" s="42" t="n">
        <f aca="false">IF(AND(N$6&gt;=Inputs!$D$45,N$6&lt;Inputs!$D$45+15),Inputs!$D$44/15*N7,0)</f>
        <v>36.6666666666667</v>
      </c>
      <c r="O58" s="42" t="n">
        <f aca="false">IF(AND(O$6&gt;=Inputs!$D$45,O$6&lt;Inputs!$D$45+15),Inputs!$D$44/15*O7,0)</f>
        <v>36.6666666666667</v>
      </c>
      <c r="P58" s="42" t="n">
        <f aca="false">IF(AND(P$6&gt;=Inputs!$D$45,P$6&lt;Inputs!$D$45+15),Inputs!$D$44/15*P7,0)</f>
        <v>36.6666666666667</v>
      </c>
      <c r="Q58" s="42" t="n">
        <f aca="false">IF(AND(Q$6&gt;=Inputs!$D$45,Q$6&lt;Inputs!$D$45+15),Inputs!$D$44/15*Q7,0)</f>
        <v>36.6666666666667</v>
      </c>
      <c r="R58" s="42" t="n">
        <f aca="false">IF(AND(R$6&gt;=Inputs!$D$45,R$6&lt;Inputs!$D$45+15),Inputs!$D$44/15*R7,0)</f>
        <v>36.6666666666667</v>
      </c>
    </row>
    <row r="59" customFormat="false" ht="15" hidden="false" customHeight="false" outlineLevel="0" collapsed="false">
      <c r="A59" s="7" t="s">
        <v>623</v>
      </c>
      <c r="B59" s="17" t="s">
        <v>116</v>
      </c>
      <c r="D59" s="42" t="n">
        <f aca="false">D49-D57-D58</f>
        <v>-947.380789473684</v>
      </c>
      <c r="E59" s="42" t="n">
        <f aca="false">E49-E57-E58</f>
        <v>-1679.15373809253</v>
      </c>
      <c r="F59" s="42" t="n">
        <f aca="false">F49-F57-F58</f>
        <v>-1015.57191338309</v>
      </c>
      <c r="G59" s="42" t="n">
        <f aca="false">G49-G57-G58</f>
        <v>524.948679767129</v>
      </c>
      <c r="H59" s="42" t="n">
        <f aca="false">H49-H57-H58</f>
        <v>1519.11803709313</v>
      </c>
      <c r="I59" s="42" t="n">
        <f aca="false">I49-I57-I58</f>
        <v>2345.88982961177</v>
      </c>
      <c r="J59" s="42" t="n">
        <f aca="false">J49-J57-J58</f>
        <v>2839.99999223681</v>
      </c>
      <c r="K59" s="42" t="n">
        <f aca="false">K49-K57-K58</f>
        <v>2554.75940785616</v>
      </c>
      <c r="L59" s="42" t="n">
        <f aca="false">L49-L57-L58</f>
        <v>2498.66159948533</v>
      </c>
      <c r="M59" s="42" t="n">
        <f aca="false">M49-M57-M58</f>
        <v>2762.20007847592</v>
      </c>
      <c r="N59" s="42" t="n">
        <f aca="false">N49-N57-N58</f>
        <v>3680.33496503057</v>
      </c>
      <c r="O59" s="42" t="n">
        <f aca="false">O49-O57-O58</f>
        <v>3790.43160648985</v>
      </c>
      <c r="P59" s="42" t="n">
        <f aca="false">P49-P57-P58</f>
        <v>3898.33863007812</v>
      </c>
      <c r="Q59" s="42" t="n">
        <f aca="false">Q49-Q57-Q58</f>
        <v>4007.20677605461</v>
      </c>
      <c r="R59" s="42" t="n">
        <f aca="false">R49-R57-R58</f>
        <v>3384.07464736518</v>
      </c>
    </row>
    <row r="60" customFormat="false" ht="15" hidden="false" customHeight="false" outlineLevel="0" collapsed="false">
      <c r="A60" s="7" t="s">
        <v>624</v>
      </c>
      <c r="B60" s="17" t="s">
        <v>116</v>
      </c>
      <c r="D60" s="16" t="n">
        <f aca="false">Inputs!$D$23</f>
        <v>1000</v>
      </c>
      <c r="E60" s="42" t="n">
        <f aca="false">D62</f>
        <v>1947.38078947368</v>
      </c>
      <c r="F60" s="42" t="n">
        <f aca="false">E62</f>
        <v>3626.53452756622</v>
      </c>
      <c r="G60" s="42" t="n">
        <f aca="false">F62</f>
        <v>4642.10644094931</v>
      </c>
      <c r="H60" s="42" t="n">
        <f aca="false">G62</f>
        <v>4222.1474971356</v>
      </c>
      <c r="I60" s="42" t="n">
        <f aca="false">H62</f>
        <v>3006.8530674611</v>
      </c>
      <c r="J60" s="42" t="n">
        <f aca="false">I62</f>
        <v>1130.14120377168</v>
      </c>
      <c r="K60" s="42" t="n">
        <f aca="false">J62</f>
        <v>0</v>
      </c>
      <c r="L60" s="42" t="n">
        <f aca="false">K62</f>
        <v>0</v>
      </c>
      <c r="M60" s="42" t="n">
        <f aca="false">L62</f>
        <v>0</v>
      </c>
      <c r="N60" s="42" t="n">
        <f aca="false">M62</f>
        <v>0</v>
      </c>
      <c r="O60" s="42" t="n">
        <f aca="false">N62</f>
        <v>0</v>
      </c>
      <c r="P60" s="42" t="n">
        <f aca="false">O62</f>
        <v>0</v>
      </c>
      <c r="Q60" s="42" t="n">
        <f aca="false">P62</f>
        <v>0</v>
      </c>
      <c r="R60" s="42" t="n">
        <f aca="false">Q62</f>
        <v>0</v>
      </c>
    </row>
    <row r="61" customFormat="false" ht="15" hidden="false" customHeight="false" outlineLevel="0" collapsed="false">
      <c r="A61" s="7" t="s">
        <v>625</v>
      </c>
      <c r="B61" s="17" t="s">
        <v>116</v>
      </c>
      <c r="D61" s="42" t="n">
        <f aca="false">MIN(D60,MAX(0,D59)*Inputs!$D$24)</f>
        <v>0</v>
      </c>
      <c r="E61" s="42" t="n">
        <f aca="false">MIN(E60,MAX(0,E59)*Inputs!$D$24)</f>
        <v>0</v>
      </c>
      <c r="F61" s="42" t="n">
        <f aca="false">MIN(F60,MAX(0,F59)*Inputs!$D$24)</f>
        <v>0</v>
      </c>
      <c r="G61" s="42" t="n">
        <f aca="false">MIN(G60,MAX(0,G59)*Inputs!$D$24)</f>
        <v>419.958943813703</v>
      </c>
      <c r="H61" s="42" t="n">
        <f aca="false">MIN(H60,MAX(0,H59)*Inputs!$D$24)</f>
        <v>1215.2944296745</v>
      </c>
      <c r="I61" s="42" t="n">
        <f aca="false">MIN(I60,MAX(0,I59)*Inputs!$D$24)</f>
        <v>1876.71186368942</v>
      </c>
      <c r="J61" s="42" t="n">
        <f aca="false">MIN(J60,MAX(0,J59)*Inputs!$D$24)</f>
        <v>1130.14120377168</v>
      </c>
      <c r="K61" s="42" t="n">
        <f aca="false">MIN(K60,MAX(0,K59)*Inputs!$D$24)</f>
        <v>0</v>
      </c>
      <c r="L61" s="42" t="n">
        <f aca="false">MIN(L60,MAX(0,L59)*Inputs!$D$24)</f>
        <v>0</v>
      </c>
      <c r="M61" s="42" t="n">
        <f aca="false">MIN(M60,MAX(0,M59)*Inputs!$D$24)</f>
        <v>0</v>
      </c>
      <c r="N61" s="42" t="n">
        <f aca="false">MIN(N60,MAX(0,N59)*Inputs!$D$24)</f>
        <v>0</v>
      </c>
      <c r="O61" s="42" t="n">
        <f aca="false">MIN(O60,MAX(0,O59)*Inputs!$D$24)</f>
        <v>0</v>
      </c>
      <c r="P61" s="42" t="n">
        <f aca="false">MIN(P60,MAX(0,P59)*Inputs!$D$24)</f>
        <v>0</v>
      </c>
      <c r="Q61" s="42" t="n">
        <f aca="false">MIN(Q60,MAX(0,Q59)*Inputs!$D$24)</f>
        <v>0</v>
      </c>
      <c r="R61" s="42" t="n">
        <f aca="false">MIN(R60,MAX(0,R59)*Inputs!$D$24)</f>
        <v>0</v>
      </c>
    </row>
    <row r="62" customFormat="false" ht="15" hidden="false" customHeight="false" outlineLevel="0" collapsed="false">
      <c r="A62" s="7" t="s">
        <v>626</v>
      </c>
      <c r="B62" s="17" t="s">
        <v>116</v>
      </c>
      <c r="D62" s="42" t="n">
        <f aca="false">D60-D61+MAX(0,-D59)</f>
        <v>1947.38078947368</v>
      </c>
      <c r="E62" s="42" t="n">
        <f aca="false">E60-E61+MAX(0,-E59)</f>
        <v>3626.53452756622</v>
      </c>
      <c r="F62" s="42" t="n">
        <f aca="false">F60-F61+MAX(0,-F59)</f>
        <v>4642.10644094931</v>
      </c>
      <c r="G62" s="42" t="n">
        <f aca="false">G60-G61+MAX(0,-G59)</f>
        <v>4222.1474971356</v>
      </c>
      <c r="H62" s="42" t="n">
        <f aca="false">H60-H61+MAX(0,-H59)</f>
        <v>3006.8530674611</v>
      </c>
      <c r="I62" s="42" t="n">
        <f aca="false">I60-I61+MAX(0,-I59)</f>
        <v>1130.14120377168</v>
      </c>
      <c r="J62" s="42" t="n">
        <f aca="false">J60-J61+MAX(0,-J59)</f>
        <v>0</v>
      </c>
      <c r="K62" s="42" t="n">
        <f aca="false">K60-K61+MAX(0,-K59)</f>
        <v>0</v>
      </c>
      <c r="L62" s="42" t="n">
        <f aca="false">L60-L61+MAX(0,-L59)</f>
        <v>0</v>
      </c>
      <c r="M62" s="42" t="n">
        <f aca="false">M60-M61+MAX(0,-M59)</f>
        <v>0</v>
      </c>
      <c r="N62" s="42" t="n">
        <f aca="false">N60-N61+MAX(0,-N59)</f>
        <v>0</v>
      </c>
      <c r="O62" s="42" t="n">
        <f aca="false">O60-O61+MAX(0,-O59)</f>
        <v>0</v>
      </c>
      <c r="P62" s="42" t="n">
        <f aca="false">P60-P61+MAX(0,-P59)</f>
        <v>0</v>
      </c>
      <c r="Q62" s="42" t="n">
        <f aca="false">Q60-Q61+MAX(0,-Q59)</f>
        <v>0</v>
      </c>
      <c r="R62" s="42" t="n">
        <f aca="false">R60-R61+MAX(0,-R59)</f>
        <v>0</v>
      </c>
    </row>
    <row r="63" customFormat="false" ht="15" hidden="false" customHeight="false" outlineLevel="0" collapsed="false">
      <c r="A63" s="3" t="s">
        <v>627</v>
      </c>
      <c r="B63" s="17" t="s">
        <v>116</v>
      </c>
      <c r="D63" s="55" t="n">
        <f aca="false">Inputs!$D$22*MAX(0,D59-D61)</f>
        <v>0</v>
      </c>
      <c r="E63" s="55" t="n">
        <f aca="false">Inputs!$D$22*MAX(0,E59-E61)</f>
        <v>0</v>
      </c>
      <c r="F63" s="55" t="n">
        <f aca="false">Inputs!$D$22*MAX(0,F59-F61)</f>
        <v>0</v>
      </c>
      <c r="G63" s="55" t="n">
        <f aca="false">Inputs!$D$22*MAX(0,G59-G61)</f>
        <v>26.2474339883565</v>
      </c>
      <c r="H63" s="55" t="n">
        <f aca="false">Inputs!$D$22*MAX(0,H59-H61)</f>
        <v>75.9559018546563</v>
      </c>
      <c r="I63" s="55" t="n">
        <f aca="false">Inputs!$D$22*MAX(0,I59-I61)</f>
        <v>117.294491480589</v>
      </c>
      <c r="J63" s="55" t="n">
        <f aca="false">Inputs!$D$22*MAX(0,J59-J61)</f>
        <v>427.464697116283</v>
      </c>
      <c r="K63" s="55" t="n">
        <f aca="false">Inputs!$D$22*MAX(0,K59-K61)</f>
        <v>638.689851964039</v>
      </c>
      <c r="L63" s="55" t="n">
        <f aca="false">Inputs!$D$22*MAX(0,L59-L61)</f>
        <v>624.665399871334</v>
      </c>
      <c r="M63" s="55" t="n">
        <f aca="false">Inputs!$D$22*MAX(0,M59-M61)</f>
        <v>690.55001961898</v>
      </c>
      <c r="N63" s="55" t="n">
        <f aca="false">Inputs!$D$22*MAX(0,N59-N61)</f>
        <v>920.083741257644</v>
      </c>
      <c r="O63" s="55" t="n">
        <f aca="false">Inputs!$D$22*MAX(0,O59-O61)</f>
        <v>947.607901622463</v>
      </c>
      <c r="P63" s="55" t="n">
        <f aca="false">Inputs!$D$22*MAX(0,P59-P61)</f>
        <v>974.584657519531</v>
      </c>
      <c r="Q63" s="55" t="n">
        <f aca="false">Inputs!$D$22*MAX(0,Q59-Q61)</f>
        <v>1001.80169401365</v>
      </c>
      <c r="R63" s="55" t="n">
        <f aca="false">Inputs!$D$22*MAX(0,R59-R61)</f>
        <v>846.018661841294</v>
      </c>
    </row>
    <row r="64" customFormat="false" ht="15" hidden="false" customHeight="false" outlineLevel="0" collapsed="false">
      <c r="A64" s="5" t="s">
        <v>628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customFormat="false" ht="15" hidden="false" customHeight="false" outlineLevel="0" collapsed="false">
      <c r="A65" s="7" t="s">
        <v>629</v>
      </c>
      <c r="B65" s="17" t="s">
        <v>116</v>
      </c>
      <c r="D65" s="42" t="n">
        <f aca="false">D37/D7</f>
        <v>257.4</v>
      </c>
      <c r="E65" s="42" t="n">
        <f aca="false">E37/E7</f>
        <v>422.399111016008</v>
      </c>
      <c r="F65" s="42" t="n">
        <f aca="false">F37/F7</f>
        <v>1088.0371710457</v>
      </c>
      <c r="G65" s="42" t="n">
        <f aca="false">G37/G7</f>
        <v>2034.04513444074</v>
      </c>
      <c r="H65" s="42" t="n">
        <f aca="false">H37/H7</f>
        <v>3252.79224401564</v>
      </c>
      <c r="I65" s="42" t="n">
        <f aca="false">I37/I7</f>
        <v>4265.09257517513</v>
      </c>
      <c r="J65" s="42" t="n">
        <f aca="false">J37/J7</f>
        <v>4918.09366232295</v>
      </c>
      <c r="K65" s="42" t="n">
        <f aca="false">K37/K7</f>
        <v>5396.47398885304</v>
      </c>
      <c r="L65" s="42" t="n">
        <f aca="false">L37/L7</f>
        <v>5704.11611150006</v>
      </c>
      <c r="M65" s="42" t="n">
        <f aca="false">M37/M7</f>
        <v>5926.91537622146</v>
      </c>
      <c r="N65" s="42" t="n">
        <f aca="false">N37/N7</f>
        <v>6115.19807948023</v>
      </c>
      <c r="O65" s="42" t="n">
        <f aca="false">O37/O7</f>
        <v>6292.42821210926</v>
      </c>
      <c r="P65" s="42" t="n">
        <f aca="false">P37/P7</f>
        <v>6468.44394240131</v>
      </c>
      <c r="Q65" s="42" t="n">
        <f aca="false">Q37/Q7</f>
        <v>6647.24862638266</v>
      </c>
      <c r="R65" s="42" t="n">
        <f aca="false">R37/R7</f>
        <v>6830.51304121362</v>
      </c>
    </row>
    <row r="66" customFormat="false" ht="15" hidden="false" customHeight="false" outlineLevel="0" collapsed="false">
      <c r="A66" s="7" t="s">
        <v>630</v>
      </c>
      <c r="B66" s="17" t="s">
        <v>116</v>
      </c>
      <c r="D66" s="42" t="n">
        <f aca="false">Inputs!$D$42*(D65-Inputs!$D$43)</f>
        <v>8.2445</v>
      </c>
      <c r="E66" s="42" t="n">
        <f aca="false">Inputs!$D$42*(E65-D65)</f>
        <v>8.24995555080039</v>
      </c>
      <c r="F66" s="42" t="n">
        <f aca="false">Inputs!$D$42*(F65-E65)</f>
        <v>33.2819030014844</v>
      </c>
      <c r="G66" s="42" t="n">
        <f aca="false">Inputs!$D$42*(G65-F65)</f>
        <v>47.3003981697522</v>
      </c>
      <c r="H66" s="42" t="n">
        <f aca="false">Inputs!$D$42*(H65-G65)</f>
        <v>60.9373554787449</v>
      </c>
      <c r="I66" s="42" t="n">
        <f aca="false">Inputs!$D$42*(I65-H65)</f>
        <v>50.6150165579745</v>
      </c>
      <c r="J66" s="42" t="n">
        <f aca="false">Inputs!$D$42*(J65-I65)</f>
        <v>32.6500543573911</v>
      </c>
      <c r="K66" s="42" t="n">
        <f aca="false">Inputs!$D$42*(K65-J65)</f>
        <v>23.9190163265044</v>
      </c>
      <c r="L66" s="42" t="n">
        <f aca="false">Inputs!$D$42*(L65-K65)</f>
        <v>15.3821061323511</v>
      </c>
      <c r="M66" s="42" t="n">
        <f aca="false">Inputs!$D$42*(M65-L65)</f>
        <v>11.1399632360702</v>
      </c>
      <c r="N66" s="42" t="n">
        <f aca="false">Inputs!$D$42*(N65-M65)</f>
        <v>9.41413516293819</v>
      </c>
      <c r="O66" s="42" t="n">
        <f aca="false">Inputs!$D$42*(O65-N65)</f>
        <v>8.86150663145154</v>
      </c>
      <c r="P66" s="42" t="n">
        <f aca="false">Inputs!$D$42*(P65-O65)</f>
        <v>8.80078651460272</v>
      </c>
      <c r="Q66" s="42" t="n">
        <f aca="false">Inputs!$D$42*(Q65-P65)</f>
        <v>8.94023419906753</v>
      </c>
      <c r="R66" s="42" t="n">
        <f aca="false">Inputs!$D$42*(R65-Q65)</f>
        <v>9.16322074154791</v>
      </c>
    </row>
    <row r="67" customFormat="false" ht="15" hidden="false" customHeight="false" outlineLevel="0" collapsed="false">
      <c r="A67" s="7" t="s">
        <v>631</v>
      </c>
      <c r="B67" s="17" t="s">
        <v>116</v>
      </c>
      <c r="D67" s="42" t="n">
        <f aca="false">IF(AND(D$6&gt;=Inputs!$D$40,D$6&lt;Inputs!$D$40+Inputs!$D$41),Inputs!$D$39/Inputs!$D$41*D7,0)</f>
        <v>0</v>
      </c>
      <c r="E67" s="42" t="n">
        <f aca="false">IF(AND(E$6&gt;=Inputs!$D$40,E$6&lt;Inputs!$D$40+Inputs!$D$41),Inputs!$D$39/Inputs!$D$41*E7,0)</f>
        <v>53.3866</v>
      </c>
      <c r="F67" s="42" t="n">
        <f aca="false">IF(AND(F$6&gt;=Inputs!$D$40,F$6&lt;Inputs!$D$40+Inputs!$D$41),Inputs!$D$39/Inputs!$D$41*F7,0)</f>
        <v>53.3866</v>
      </c>
      <c r="G67" s="42" t="n">
        <f aca="false">IF(AND(G$6&gt;=Inputs!$D$40,G$6&lt;Inputs!$D$40+Inputs!$D$41),Inputs!$D$39/Inputs!$D$41*G7,0)</f>
        <v>53.3866</v>
      </c>
      <c r="H67" s="42" t="n">
        <f aca="false">IF(AND(H$6&gt;=Inputs!$D$40,H$6&lt;Inputs!$D$40+Inputs!$D$41),Inputs!$D$39/Inputs!$D$41*H7,0)</f>
        <v>53.3866</v>
      </c>
      <c r="I67" s="42" t="n">
        <f aca="false">IF(AND(I$6&gt;=Inputs!$D$40,I$6&lt;Inputs!$D$40+Inputs!$D$41),Inputs!$D$39/Inputs!$D$41*I7,0)</f>
        <v>53.3866</v>
      </c>
      <c r="J67" s="42" t="n">
        <f aca="false">IF(AND(J$6&gt;=Inputs!$D$40,J$6&lt;Inputs!$D$40+Inputs!$D$41),Inputs!$D$39/Inputs!$D$41*J7,0)</f>
        <v>0</v>
      </c>
      <c r="K67" s="42" t="n">
        <f aca="false">IF(AND(K$6&gt;=Inputs!$D$40,K$6&lt;Inputs!$D$40+Inputs!$D$41),Inputs!$D$39/Inputs!$D$41*K7,0)</f>
        <v>0</v>
      </c>
      <c r="L67" s="42" t="n">
        <f aca="false">IF(AND(L$6&gt;=Inputs!$D$40,L$6&lt;Inputs!$D$40+Inputs!$D$41),Inputs!$D$39/Inputs!$D$41*L7,0)</f>
        <v>0</v>
      </c>
      <c r="M67" s="42" t="n">
        <f aca="false">IF(AND(M$6&gt;=Inputs!$D$40,M$6&lt;Inputs!$D$40+Inputs!$D$41),Inputs!$D$39/Inputs!$D$41*M7,0)</f>
        <v>0</v>
      </c>
      <c r="N67" s="42" t="n">
        <f aca="false">IF(AND(N$6&gt;=Inputs!$D$40,N$6&lt;Inputs!$D$40+Inputs!$D$41),Inputs!$D$39/Inputs!$D$41*N7,0)</f>
        <v>0</v>
      </c>
      <c r="O67" s="42" t="n">
        <f aca="false">IF(AND(O$6&gt;=Inputs!$D$40,O$6&lt;Inputs!$D$40+Inputs!$D$41),Inputs!$D$39/Inputs!$D$41*O7,0)</f>
        <v>0</v>
      </c>
      <c r="P67" s="42" t="n">
        <f aca="false">IF(AND(P$6&gt;=Inputs!$D$40,P$6&lt;Inputs!$D$40+Inputs!$D$41),Inputs!$D$39/Inputs!$D$41*P7,0)</f>
        <v>0</v>
      </c>
      <c r="Q67" s="42" t="n">
        <f aca="false">IF(AND(Q$6&gt;=Inputs!$D$40,Q$6&lt;Inputs!$D$40+Inputs!$D$41),Inputs!$D$39/Inputs!$D$41*Q7,0)</f>
        <v>0</v>
      </c>
      <c r="R67" s="42" t="n">
        <f aca="false">IF(AND(R$6&gt;=Inputs!$D$40,R$6&lt;Inputs!$D$40+Inputs!$D$41),Inputs!$D$39/Inputs!$D$41*R7,0)</f>
        <v>0</v>
      </c>
    </row>
    <row r="68" customFormat="false" ht="15" hidden="false" customHeight="false" outlineLevel="0" collapsed="false">
      <c r="A68" s="3" t="s">
        <v>632</v>
      </c>
      <c r="B68" s="17" t="s">
        <v>116</v>
      </c>
      <c r="D68" s="55" t="n">
        <f aca="false">D49-D63-D22-D52-D53+D54-D66-D67</f>
        <v>-469.3095</v>
      </c>
      <c r="E68" s="55" t="n">
        <f aca="false">E49-E63-E22-E52-E53+E54-E66-E67</f>
        <v>-1878.39691645035</v>
      </c>
      <c r="F68" s="55" t="n">
        <f aca="false">F49-F63-F22-F52-F53+F54-F66-F67</f>
        <v>-1065.57374971791</v>
      </c>
      <c r="G68" s="55" t="n">
        <f aca="false">G49-G63-G22-G52-G53+G54-G66-G67</f>
        <v>434.680914275687</v>
      </c>
      <c r="H68" s="55" t="n">
        <f aca="false">H49-H63-H22-H52-H53+H54-H66-H67</f>
        <v>1365.50484642639</v>
      </c>
      <c r="I68" s="55" t="n">
        <f aca="false">I49-I63-I22-I52-I53+I54-I66-I67</f>
        <v>2161.26038823988</v>
      </c>
      <c r="J68" s="55" t="n">
        <f aca="false">J49-J63-J22-J52-J53+J54-J66-J67</f>
        <v>2416.55190742981</v>
      </c>
      <c r="K68" s="55" t="n">
        <f aca="false">K49-K63-K22-K52-K53+K54-K66-K67</f>
        <v>1928.81720623228</v>
      </c>
      <c r="L68" s="55" t="n">
        <f aca="false">L49-L63-L22-L52-L53+L54-L66-L67</f>
        <v>1895.28076014832</v>
      </c>
      <c r="M68" s="55" t="n">
        <f aca="false">M49-M63-M22-M52-M53+M54-M66-M67</f>
        <v>2097.17676228754</v>
      </c>
      <c r="N68" s="55" t="n">
        <f aca="false">N49-N63-N22-N52-N53+N54-N66-N67</f>
        <v>2787.50375527666</v>
      </c>
      <c r="O68" s="55" t="n">
        <f aca="false">O49-O63-O22-O52-O53+O54-O66-O67</f>
        <v>2870.6288649026</v>
      </c>
      <c r="P68" s="55" t="n">
        <f aca="false">P49-P63-P22-P52-P53+P54-P66-P67</f>
        <v>2951.61985271066</v>
      </c>
      <c r="Q68" s="55" t="n">
        <f aca="false">Q49-Q63-Q22-Q52-Q53+Q54-Q66-Q67</f>
        <v>3033.13151450856</v>
      </c>
      <c r="R68" s="55" t="n">
        <f aca="false">R49-R63-R22-R52-R53+R54-R66-R67</f>
        <v>2565.559431449</v>
      </c>
    </row>
    <row r="69" customFormat="false" ht="15" hidden="false" customHeight="false" outlineLevel="0" collapsed="false">
      <c r="A69" s="7" t="s">
        <v>633</v>
      </c>
      <c r="B69" s="17" t="s">
        <v>116</v>
      </c>
      <c r="D69" s="42" t="n">
        <f aca="false">SUM($D$68:D68)</f>
        <v>-469.3095</v>
      </c>
      <c r="E69" s="42" t="n">
        <f aca="false">SUM($D$68:E68)</f>
        <v>-2347.70641645035</v>
      </c>
      <c r="F69" s="42" t="n">
        <f aca="false">SUM($D$68:F68)</f>
        <v>-3413.28016616826</v>
      </c>
      <c r="G69" s="42" t="n">
        <f aca="false">SUM($D$68:G68)</f>
        <v>-2978.59925189257</v>
      </c>
      <c r="H69" s="42" t="n">
        <f aca="false">SUM($D$68:H68)</f>
        <v>-1613.09440546618</v>
      </c>
      <c r="I69" s="42" t="n">
        <f aca="false">SUM($D$68:I68)</f>
        <v>548.1659827737</v>
      </c>
      <c r="J69" s="42" t="n">
        <f aca="false">SUM($D$68:J68)</f>
        <v>2964.71789020351</v>
      </c>
      <c r="K69" s="42" t="n">
        <f aca="false">SUM($D$68:K68)</f>
        <v>4893.53509643578</v>
      </c>
      <c r="L69" s="42" t="n">
        <f aca="false">SUM($D$68:L68)</f>
        <v>6788.8158565841</v>
      </c>
      <c r="M69" s="42" t="n">
        <f aca="false">SUM($D$68:M68)</f>
        <v>8885.99261887163</v>
      </c>
      <c r="N69" s="42" t="n">
        <f aca="false">SUM($D$68:N68)</f>
        <v>11673.4963741483</v>
      </c>
      <c r="O69" s="42" t="n">
        <f aca="false">SUM($D$68:O68)</f>
        <v>14544.1252390509</v>
      </c>
      <c r="P69" s="42" t="n">
        <f aca="false">SUM($D$68:P68)</f>
        <v>17495.7450917616</v>
      </c>
      <c r="Q69" s="42" t="n">
        <f aca="false">SUM($D$68:Q68)</f>
        <v>20528.8766062701</v>
      </c>
      <c r="R69" s="42" t="n">
        <f aca="false">SUM($D$68:R68)</f>
        <v>23094.4360377191</v>
      </c>
    </row>
    <row r="70" customFormat="false" ht="15" hidden="false" customHeight="false" outlineLevel="0" collapsed="false">
      <c r="A70" s="5" t="s">
        <v>634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customFormat="false" ht="15" hidden="false" customHeight="false" outlineLevel="0" collapsed="false">
      <c r="A71" s="7" t="s">
        <v>635</v>
      </c>
      <c r="B71" s="17" t="s">
        <v>68</v>
      </c>
      <c r="D71" s="23" t="n">
        <f aca="false">WACC!D$21</f>
        <v>0.103496717614723</v>
      </c>
      <c r="E71" s="23" t="n">
        <f aca="false">WACC!E$21</f>
        <v>0.103496717614723</v>
      </c>
      <c r="F71" s="23" t="n">
        <f aca="false">WACC!F$21</f>
        <v>0.103496717614723</v>
      </c>
      <c r="G71" s="23" t="n">
        <f aca="false">WACC!G$21</f>
        <v>0.103496717614723</v>
      </c>
      <c r="H71" s="23" t="n">
        <f aca="false">WACC!H$21</f>
        <v>0.103496717614723</v>
      </c>
      <c r="I71" s="23" t="n">
        <f aca="false">WACC!I$21</f>
        <v>0.0993123740917783</v>
      </c>
      <c r="J71" s="23" t="n">
        <f aca="false">WACC!J$21</f>
        <v>0.0951280305688338</v>
      </c>
      <c r="K71" s="23" t="n">
        <f aca="false">WACC!K$21</f>
        <v>0.0909436870458892</v>
      </c>
      <c r="L71" s="23" t="n">
        <f aca="false">WACC!L$21</f>
        <v>0.0867593435229446</v>
      </c>
      <c r="M71" s="23" t="n">
        <f aca="false">WACC!M$21</f>
        <v>0.082575</v>
      </c>
      <c r="N71" s="23" t="n">
        <f aca="false">WACC!N$21</f>
        <v>0.082575</v>
      </c>
      <c r="O71" s="23" t="n">
        <f aca="false">WACC!O$21</f>
        <v>0.082575</v>
      </c>
      <c r="P71" s="23" t="n">
        <f aca="false">WACC!P$21</f>
        <v>0.082575</v>
      </c>
      <c r="Q71" s="23" t="n">
        <f aca="false">WACC!Q$21</f>
        <v>0.082575</v>
      </c>
      <c r="R71" s="23" t="n">
        <f aca="false">WACC!R$21</f>
        <v>0.082575</v>
      </c>
    </row>
    <row r="72" customFormat="false" ht="15" hidden="false" customHeight="false" outlineLevel="0" collapsed="false">
      <c r="A72" s="7" t="s">
        <v>636</v>
      </c>
      <c r="B72" s="17" t="s">
        <v>637</v>
      </c>
      <c r="D72" s="45" t="n">
        <f aca="false">(1+D71)^(D8+D7-Inputs!$D$6)</f>
        <v>1.03100085196045</v>
      </c>
      <c r="E72" s="45" t="n">
        <f aca="false">D72*(1+E71)^E7</f>
        <v>1.13770605599634</v>
      </c>
      <c r="F72" s="45" t="n">
        <f aca="false">E72*(1+F71)^F7</f>
        <v>1.25545489840236</v>
      </c>
      <c r="G72" s="45" t="n">
        <f aca="false">F72*(1+G71)^G7</f>
        <v>1.38539035950032</v>
      </c>
      <c r="H72" s="45" t="n">
        <f aca="false">G72*(1+H71)^H7</f>
        <v>1.52877371432369</v>
      </c>
      <c r="I72" s="45" t="n">
        <f aca="false">H72*(1+I71)^I7</f>
        <v>1.68059986134228</v>
      </c>
      <c r="J72" s="45" t="n">
        <f aca="false">I72*(1+J71)^J7</f>
        <v>1.84047201632603</v>
      </c>
      <c r="K72" s="45" t="n">
        <f aca="false">J72*(1+K71)^K7</f>
        <v>2.0078513273955</v>
      </c>
      <c r="L72" s="45" t="n">
        <f aca="false">K72*(1+L71)^L7</f>
        <v>2.182051190452</v>
      </c>
      <c r="M72" s="45" t="n">
        <f aca="false">L72*(1+M71)^M7</f>
        <v>2.36223406750358</v>
      </c>
      <c r="N72" s="45" t="n">
        <f aca="false">M72*(1+N71)^N7</f>
        <v>2.55729554562769</v>
      </c>
      <c r="O72" s="45" t="n">
        <f aca="false">N72*(1+O71)^O7</f>
        <v>2.76846422530789</v>
      </c>
      <c r="P72" s="45" t="n">
        <f aca="false">O72*(1+P71)^P7</f>
        <v>2.99707015871269</v>
      </c>
      <c r="Q72" s="45" t="n">
        <f aca="false">P72*(1+Q71)^Q7</f>
        <v>3.24455322706839</v>
      </c>
      <c r="R72" s="45" t="n">
        <f aca="false">Q72*(1+R71)^R7</f>
        <v>3.51247220979357</v>
      </c>
    </row>
    <row r="73" customFormat="false" ht="15" hidden="false" customHeight="false" outlineLevel="0" collapsed="false">
      <c r="A73" s="7" t="s">
        <v>638</v>
      </c>
      <c r="B73" s="17" t="s">
        <v>637</v>
      </c>
      <c r="D73" s="45" t="n">
        <f aca="false">1/(1+D71)^(D9-Inputs!$D$6)</f>
        <v>0.994108385699078</v>
      </c>
      <c r="E73" s="45" t="n">
        <f aca="false">1/(D72*(1+E71)^(E7/2))</f>
        <v>0.923326824776453</v>
      </c>
      <c r="F73" s="45" t="n">
        <f aca="false">1/(E72*(1+F71)^(F7/2))</f>
        <v>0.836728202302478</v>
      </c>
      <c r="G73" s="45" t="n">
        <f aca="false">1/(F72*(1+G71)^(G7/2))</f>
        <v>0.75825164583282</v>
      </c>
      <c r="H73" s="45" t="n">
        <f aca="false">1/(G72*(1+H71)^(H7/2))</f>
        <v>0.687135388559948</v>
      </c>
      <c r="I73" s="45" t="n">
        <f aca="false">1/(H72*(1+I71)^(I7/2))</f>
        <v>0.623873063572163</v>
      </c>
      <c r="J73" s="45" t="n">
        <f aca="false">1/(I72*(1+J71)^(J7/2))</f>
        <v>0.568595252263519</v>
      </c>
      <c r="K73" s="45" t="n">
        <f aca="false">1/(J72*(1+K71)^(K7/2))</f>
        <v>0.520199121813138</v>
      </c>
      <c r="L73" s="45" t="n">
        <f aca="false">1/(K72*(1+L71)^(L7/2))</f>
        <v>0.477751166978813</v>
      </c>
      <c r="M73" s="45" t="n">
        <f aca="false">1/(L72*(1+M71)^(M7/2))</f>
        <v>0.440459588117527</v>
      </c>
      <c r="N73" s="45" t="n">
        <f aca="false">1/(M72*(1+N71)^(N7/2))</f>
        <v>0.406862885359007</v>
      </c>
      <c r="O73" s="45" t="n">
        <f aca="false">1/(N72*(1+O71)^(O7/2))</f>
        <v>0.375828820505745</v>
      </c>
      <c r="P73" s="45" t="n">
        <f aca="false">1/(O72*(1+P71)^(P7/2))</f>
        <v>0.34716192458328</v>
      </c>
      <c r="Q73" s="45" t="n">
        <f aca="false">1/(P72*(1+Q71)^(Q7/2))</f>
        <v>0.320681638300608</v>
      </c>
      <c r="R73" s="45" t="n">
        <f aca="false">1/(Q72*(1+R71)^(R7/2))</f>
        <v>0.296221174792146</v>
      </c>
    </row>
    <row r="74" customFormat="false" ht="15" hidden="false" customHeight="false" outlineLevel="0" collapsed="false">
      <c r="A74" s="3" t="s">
        <v>639</v>
      </c>
      <c r="B74" s="17" t="s">
        <v>116</v>
      </c>
      <c r="D74" s="55" t="n">
        <f aca="false">D68*D73</f>
        <v>-466.544509438241</v>
      </c>
      <c r="E74" s="55" t="n">
        <f aca="false">E68*E73</f>
        <v>-1734.37426053598</v>
      </c>
      <c r="F74" s="55" t="n">
        <f aca="false">F68*F73</f>
        <v>-891.595608022175</v>
      </c>
      <c r="G74" s="55" t="n">
        <f aca="false">G68*G73</f>
        <v>329.597518661655</v>
      </c>
      <c r="H74" s="55" t="n">
        <f aca="false">H68*H73</f>
        <v>938.286703229691</v>
      </c>
      <c r="I74" s="55" t="n">
        <f aca="false">I68*I73</f>
        <v>1348.35213958838</v>
      </c>
      <c r="J74" s="55" t="n">
        <f aca="false">J68*J73</f>
        <v>1374.03994141294</v>
      </c>
      <c r="K74" s="55" t="n">
        <f aca="false">K68*K73</f>
        <v>1003.3690168201</v>
      </c>
      <c r="L74" s="55" t="n">
        <f aca="false">L68*L73</f>
        <v>905.47259491335</v>
      </c>
      <c r="M74" s="55" t="n">
        <f aca="false">M68*M73</f>
        <v>923.721612926816</v>
      </c>
      <c r="N74" s="55" t="n">
        <f aca="false">N68*N73</f>
        <v>1134.13182082093</v>
      </c>
      <c r="O74" s="55" t="n">
        <f aca="false">O68*O73</f>
        <v>1078.86506040609</v>
      </c>
      <c r="P74" s="55" t="n">
        <f aca="false">P68*P73</f>
        <v>1024.69002870525</v>
      </c>
      <c r="Q74" s="55" t="n">
        <f aca="false">Q68*Q73</f>
        <v>972.669583253807</v>
      </c>
      <c r="R74" s="55" t="n">
        <f aca="false">R68*R73</f>
        <v>759.973028782894</v>
      </c>
    </row>
    <row r="75" customFormat="false" ht="15" hidden="false" customHeight="false" outlineLevel="0" collapsed="false">
      <c r="A75" s="5" t="s">
        <v>640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customFormat="false" ht="15" hidden="false" customHeight="false" outlineLevel="0" collapsed="false">
      <c r="A76" s="7" t="s">
        <v>641</v>
      </c>
      <c r="C76" s="48" t="n">
        <f aca="false">WACC!$C$16</f>
        <v>0.082575</v>
      </c>
    </row>
    <row r="77" customFormat="false" ht="15" hidden="false" customHeight="false" outlineLevel="0" collapsed="false">
      <c r="A77" s="7" t="s">
        <v>642</v>
      </c>
      <c r="C77" s="48" t="n">
        <f aca="false">Inputs!$D$20</f>
        <v>0.025</v>
      </c>
    </row>
    <row r="78" customFormat="false" ht="15" hidden="false" customHeight="false" outlineLevel="0" collapsed="false">
      <c r="A78" s="7" t="s">
        <v>643</v>
      </c>
      <c r="C78" s="42" t="n">
        <f aca="false">R49*(1+C77)</f>
        <v>4468.89950362062</v>
      </c>
    </row>
    <row r="79" customFormat="false" ht="15" hidden="false" customHeight="false" outlineLevel="0" collapsed="false">
      <c r="A79" s="7" t="s">
        <v>644</v>
      </c>
      <c r="C79" s="42" t="n">
        <f aca="false">Inputs!$F$63/ROUND(Inputs!$D$26,0)/(1-Inputs!$D$27)*R18*(1+C77)</f>
        <v>387.052138656344</v>
      </c>
    </row>
    <row r="80" customFormat="false" ht="15" hidden="false" customHeight="false" outlineLevel="0" collapsed="false">
      <c r="A80" s="7" t="s">
        <v>645</v>
      </c>
      <c r="C80" s="42" t="n">
        <f aca="false">R52*(1+C77)</f>
        <v>210.038276017319</v>
      </c>
    </row>
    <row r="81" customFormat="false" ht="15" hidden="false" customHeight="false" outlineLevel="0" collapsed="false">
      <c r="A81" s="7" t="s">
        <v>646</v>
      </c>
      <c r="C81" s="42" t="n">
        <f aca="false">Inputs!$D$22*MAX(0,C78-C79-C80)</f>
        <v>967.95227223674</v>
      </c>
    </row>
    <row r="82" customFormat="false" ht="15" hidden="false" customHeight="false" outlineLevel="0" collapsed="false">
      <c r="A82" s="7" t="s">
        <v>647</v>
      </c>
      <c r="C82" s="42" t="n">
        <f aca="false">Inputs!$D$42*R37*C77</f>
        <v>8.53814130151703</v>
      </c>
    </row>
    <row r="83" customFormat="false" ht="15" hidden="false" customHeight="false" outlineLevel="0" collapsed="false">
      <c r="A83" s="3" t="s">
        <v>648</v>
      </c>
      <c r="C83" s="43" t="n">
        <f aca="false">C78-C81-C79-C80-C82</f>
        <v>2895.3186754087</v>
      </c>
    </row>
    <row r="84" customFormat="false" ht="15" hidden="false" customHeight="false" outlineLevel="0" collapsed="false">
      <c r="A84" s="7" t="s">
        <v>649</v>
      </c>
      <c r="C84" s="42" t="n">
        <f aca="false">C83*(1+C76)^0.5/(C76-C77)</f>
        <v>52322.8536228731</v>
      </c>
    </row>
    <row r="85" customFormat="false" ht="15" hidden="false" customHeight="false" outlineLevel="0" collapsed="false">
      <c r="A85" s="7" t="s">
        <v>650</v>
      </c>
      <c r="C85" s="42" t="n">
        <f aca="false">C84/R72</f>
        <v>14896.3039414191</v>
      </c>
    </row>
    <row r="86" customFormat="false" ht="15" hidden="false" customHeight="false" outlineLevel="0" collapsed="false">
      <c r="A86" s="7" t="s">
        <v>651</v>
      </c>
      <c r="C86" s="42" t="n">
        <f aca="false">SUM(D74:R74)</f>
        <v>8700.6546715255</v>
      </c>
    </row>
    <row r="87" customFormat="false" ht="15" hidden="false" customHeight="false" outlineLevel="0" collapsed="false">
      <c r="A87" s="3" t="s">
        <v>652</v>
      </c>
      <c r="C87" s="43" t="n">
        <f aca="false">C86+C85</f>
        <v>23596.9586129446</v>
      </c>
    </row>
    <row r="88" customFormat="false" ht="15" hidden="false" customHeight="false" outlineLevel="0" collapsed="false">
      <c r="A88" s="7" t="s">
        <v>38</v>
      </c>
      <c r="C88" s="41" t="n">
        <f aca="false">IF(C87&lt;=0,0,C85/C87)</f>
        <v>0.631280674164824</v>
      </c>
    </row>
    <row r="89" customFormat="false" ht="15" hidden="false" customHeight="false" outlineLevel="0" collapsed="false">
      <c r="A89" s="7" t="s">
        <v>653</v>
      </c>
      <c r="C89" s="24" t="n">
        <f aca="false">IF(C78&lt;=0,"n/m",C84/C78)</f>
        <v>11.7082188982952</v>
      </c>
    </row>
    <row r="90" customFormat="false" ht="15" hidden="false" customHeight="false" outlineLevel="0" collapsed="false">
      <c r="A90" s="5" t="s">
        <v>654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customFormat="false" ht="15" hidden="false" customHeight="false" outlineLevel="0" collapsed="false">
      <c r="A91" s="7" t="s">
        <v>655</v>
      </c>
      <c r="C91" s="42" t="n">
        <f aca="false">Capital_Structure!$D$20</f>
        <v>3755.203</v>
      </c>
    </row>
    <row r="92" customFormat="false" ht="15" hidden="false" customHeight="false" outlineLevel="0" collapsed="false">
      <c r="A92" s="7" t="s">
        <v>656</v>
      </c>
      <c r="C92" s="42" t="n">
        <f aca="false">Capital_Structure!$B$26</f>
        <v>468.638</v>
      </c>
    </row>
    <row r="93" customFormat="false" ht="15" hidden="false" customHeight="false" outlineLevel="0" collapsed="false">
      <c r="A93" s="7" t="s">
        <v>657</v>
      </c>
      <c r="C93" s="42" t="n">
        <f aca="false">Capital_Structure!$B$35</f>
        <v>3703.514</v>
      </c>
    </row>
    <row r="94" customFormat="false" ht="15" hidden="false" customHeight="false" outlineLevel="0" collapsed="false">
      <c r="A94" s="3" t="s">
        <v>658</v>
      </c>
      <c r="C94" s="43" t="n">
        <f aca="false">C87+C91-C92-C93</f>
        <v>23180.0096129446</v>
      </c>
    </row>
    <row r="95" customFormat="false" ht="15" hidden="false" customHeight="false" outlineLevel="0" collapsed="false">
      <c r="A95" s="7" t="s">
        <v>659</v>
      </c>
      <c r="C95" s="42" t="n">
        <f aca="false">Capital_Structure!$B$9</f>
        <v>389.167494</v>
      </c>
    </row>
    <row r="96" customFormat="false" ht="15" hidden="false" customHeight="false" outlineLevel="0" collapsed="false">
      <c r="A96" s="3" t="s">
        <v>396</v>
      </c>
      <c r="B96" s="3" t="s">
        <v>367</v>
      </c>
      <c r="C96" s="3" t="s">
        <v>366</v>
      </c>
      <c r="D96" s="3" t="s">
        <v>660</v>
      </c>
      <c r="E96" s="3" t="s">
        <v>661</v>
      </c>
      <c r="F96" s="3" t="s">
        <v>662</v>
      </c>
      <c r="H96" s="17" t="s">
        <v>663</v>
      </c>
    </row>
    <row r="97" customFormat="false" ht="15" hidden="false" customHeight="false" outlineLevel="0" collapsed="false">
      <c r="A97" s="47" t="str">
        <f aca="false">Capital_Structure!A48</f>
        <v>2032 4.25% converts</v>
      </c>
      <c r="B97" s="15" t="n">
        <f aca="false">Capital_Structure!B48</f>
        <v>26.99</v>
      </c>
      <c r="C97" s="22" t="n">
        <f aca="false">Capital_Structure!C48</f>
        <v>0.130196369025565</v>
      </c>
      <c r="D97" s="16" t="n">
        <f aca="false">Capital_Structure!D48</f>
        <v>3.514</v>
      </c>
      <c r="E97" s="57" t="n">
        <f aca="false">($C$94+SUMIF($B$97:$B$106,"&lt;="&amp;B97,$D$97:$D$106))/($C$95+SUMIF($B$97:$B$106,"&lt;="&amp;B97,$C$97:$C$106))</f>
        <v>57.3981806172759</v>
      </c>
      <c r="F97" s="58" t="n">
        <f aca="false">IF(E97&gt;B97,1,0)</f>
        <v>1</v>
      </c>
    </row>
    <row r="98" customFormat="false" ht="15" hidden="false" customHeight="false" outlineLevel="0" collapsed="false">
      <c r="A98" s="47" t="str">
        <f aca="false">Capital_Structure!A49</f>
        <v>2032 2.375% converts</v>
      </c>
      <c r="B98" s="15" t="n">
        <f aca="false">Capital_Structure!B49</f>
        <v>72.07</v>
      </c>
      <c r="C98" s="22" t="n">
        <f aca="false">Capital_Structure!C49</f>
        <v>4.50950464825864</v>
      </c>
      <c r="D98" s="16" t="n">
        <f aca="false">Capital_Structure!D49</f>
        <v>325</v>
      </c>
      <c r="E98" s="57" t="n">
        <f aca="false">($C$94+SUMIF($B$97:$B$106,"&lt;="&amp;B98,$D$97:$D$106))/($C$95+SUMIF($B$97:$B$106,"&lt;="&amp;B98,$C$97:$C$106))</f>
        <v>57.560007686968</v>
      </c>
      <c r="F98" s="58" t="n">
        <f aca="false">IF(E98&gt;B98,1,0)</f>
        <v>0</v>
      </c>
    </row>
    <row r="99" customFormat="false" ht="15" hidden="false" customHeight="false" outlineLevel="0" collapsed="false">
      <c r="A99" s="47" t="str">
        <f aca="false">Capital_Structure!A50</f>
        <v>2036 2.00% converts</v>
      </c>
      <c r="B99" s="15" t="n">
        <f aca="false">Capital_Structure!B50</f>
        <v>96.3</v>
      </c>
      <c r="C99" s="22" t="n">
        <f aca="false">Capital_Structure!C50</f>
        <v>11.9418483904465</v>
      </c>
      <c r="D99" s="16" t="n">
        <f aca="false">Capital_Structure!D50</f>
        <v>1150</v>
      </c>
      <c r="E99" s="57" t="n">
        <f aca="false">($C$94+SUMIF($B$97:$B$106,"&lt;="&amp;B99,$D$97:$D$106))/($C$95+SUMIF($B$97:$B$106,"&lt;="&amp;B99,$C$97:$C$106))</f>
        <v>58.6594338299035</v>
      </c>
      <c r="F99" s="58" t="n">
        <f aca="false">IF(E99&gt;B99,1,0)</f>
        <v>0</v>
      </c>
    </row>
    <row r="100" customFormat="false" ht="15" hidden="false" customHeight="false" outlineLevel="0" collapsed="false">
      <c r="A100" s="47" t="str">
        <f aca="false">Capital_Structure!A51</f>
        <v>2036 2.25% converts</v>
      </c>
      <c r="B100" s="15" t="n">
        <f aca="false">Capital_Structure!B51</f>
        <v>116.3</v>
      </c>
      <c r="C100" s="22" t="n">
        <f aca="false">Capital_Structure!C51</f>
        <v>9.24333619948409</v>
      </c>
      <c r="D100" s="16" t="n">
        <f aca="false">Capital_Structure!D51</f>
        <v>1075</v>
      </c>
      <c r="E100" s="57" t="n">
        <f aca="false">($C$94+SUMIF($B$97:$B$106,"&lt;="&amp;B100,$D$97:$D$106))/($C$95+SUMIF($B$97:$B$106,"&lt;="&amp;B100,$C$97:$C$106))</f>
        <v>59.8983880018059</v>
      </c>
      <c r="F100" s="58" t="n">
        <f aca="false">IF(E100&gt;B100,1,0)</f>
        <v>0</v>
      </c>
    </row>
    <row r="101" customFormat="false" ht="15" hidden="false" customHeight="false" outlineLevel="0" collapsed="false">
      <c r="A101" s="47" t="str">
        <f aca="false">Capital_Structure!A52</f>
        <v>2034 1.625% converts (Jul-2026)</v>
      </c>
      <c r="B101" s="15" t="n">
        <f aca="false">Capital_Structure!B52</f>
        <v>149.2</v>
      </c>
      <c r="C101" s="22" t="n">
        <f aca="false">Capital_Structure!C52</f>
        <v>14.4526831720498</v>
      </c>
      <c r="D101" s="16" t="n">
        <f aca="false">Capital_Structure!D52</f>
        <v>2156.34032926983</v>
      </c>
      <c r="E101" s="57" t="n">
        <f aca="false">($C$94+SUMIF($B$97:$B$106,"&lt;="&amp;B101,$D$97:$D$106))/($C$95+SUMIF($B$97:$B$106,"&lt;="&amp;B101,$C$97:$C$106))</f>
        <v>62.8020766138513</v>
      </c>
      <c r="F101" s="58" t="n">
        <f aca="false">IF(E101&gt;B101,1,0)</f>
        <v>0</v>
      </c>
    </row>
    <row r="102" customFormat="false" ht="15" hidden="false" customHeight="false" outlineLevel="0" collapsed="false">
      <c r="A102" s="47" t="str">
        <f aca="false">Capital_Structure!A53</f>
        <v>2020 Plan stock options</v>
      </c>
      <c r="B102" s="15" t="n">
        <f aca="false">Capital_Structure!B53</f>
        <v>9.2</v>
      </c>
      <c r="C102" s="22" t="n">
        <f aca="false">Capital_Structure!C53</f>
        <v>1.957612</v>
      </c>
      <c r="D102" s="16" t="n">
        <f aca="false">Capital_Structure!D53</f>
        <v>18.0100304</v>
      </c>
      <c r="E102" s="57" t="n">
        <f aca="false">($C$94+SUMIF($B$97:$B$106,"&lt;="&amp;B102,$D$97:$D$106))/($C$95+SUMIF($B$97:$B$106,"&lt;="&amp;B102,$C$97:$C$106))</f>
        <v>57.4124913041201</v>
      </c>
      <c r="F102" s="58" t="n">
        <f aca="false">IF(E102&gt;B102,1,0)</f>
        <v>1</v>
      </c>
    </row>
    <row r="103" customFormat="false" ht="15" hidden="false" customHeight="false" outlineLevel="0" collapsed="false">
      <c r="A103" s="47" t="str">
        <f aca="false">Capital_Structure!A54</f>
        <v>2024 Plan stock options</v>
      </c>
      <c r="B103" s="15" t="n">
        <f aca="false">Capital_Structure!B54</f>
        <v>24.65</v>
      </c>
      <c r="C103" s="22" t="n">
        <f aca="false">Capital_Structure!C54</f>
        <v>0.055718</v>
      </c>
      <c r="D103" s="16" t="n">
        <f aca="false">Capital_Structure!D54</f>
        <v>1.3734487</v>
      </c>
      <c r="E103" s="57" t="n">
        <f aca="false">($C$94+SUMIF($B$97:$B$106,"&lt;="&amp;B103,$D$97:$D$106))/($C$95+SUMIF($B$97:$B$106,"&lt;="&amp;B103,$C$97:$C$106))</f>
        <v>57.4079751635508</v>
      </c>
      <c r="F103" s="58" t="n">
        <f aca="false">IF(E103&gt;B103,1,0)</f>
        <v>1</v>
      </c>
    </row>
    <row r="104" customFormat="false" ht="15" hidden="false" customHeight="false" outlineLevel="0" collapsed="false">
      <c r="A104" s="47" t="str">
        <f aca="false">Capital_Structure!A55</f>
        <v>AST LLC incentive options</v>
      </c>
      <c r="B104" s="15" t="n">
        <f aca="false">Capital_Structure!B55</f>
        <v>1.01</v>
      </c>
      <c r="C104" s="22" t="n">
        <f aca="false">Capital_Structure!C55</f>
        <v>5.320887</v>
      </c>
      <c r="D104" s="16" t="n">
        <f aca="false">Capital_Structure!D55</f>
        <v>5.37409587</v>
      </c>
      <c r="E104" s="57" t="n">
        <f aca="false">($C$94+SUMIF($B$97:$B$106,"&lt;="&amp;B104,$D$97:$D$106))/($C$95+SUMIF($B$97:$B$106,"&lt;="&amp;B104,$C$97:$C$106))</f>
        <v>57.6471571033766</v>
      </c>
      <c r="F104" s="58" t="n">
        <f aca="false">IF(E104&gt;B104,1,0)</f>
        <v>1</v>
      </c>
    </row>
    <row r="105" customFormat="false" ht="15" hidden="false" customHeight="false" outlineLevel="0" collapsed="false">
      <c r="A105" s="47" t="str">
        <f aca="false">Capital_Structure!A56</f>
        <v>2020 Plan RSUs</v>
      </c>
      <c r="B105" s="15" t="n">
        <f aca="false">Capital_Structure!B56</f>
        <v>0</v>
      </c>
      <c r="C105" s="22" t="n">
        <f aca="false">Capital_Structure!C56</f>
        <v>0.832699</v>
      </c>
      <c r="D105" s="16" t="n">
        <f aca="false">Capital_Structure!D56</f>
        <v>0</v>
      </c>
      <c r="E105" s="57" t="n">
        <f aca="false">($C$94+SUMIF($B$97:$B$106,"&lt;="&amp;B105,$D$97:$D$106))/($C$95+SUMIF($B$97:$B$106,"&lt;="&amp;B105,$C$97:$C$106))</f>
        <v>58.4064913505544</v>
      </c>
      <c r="F105" s="58" t="n">
        <f aca="false">IF(E105&gt;B105,1,0)</f>
        <v>1</v>
      </c>
    </row>
    <row r="106" customFormat="false" ht="15" hidden="false" customHeight="false" outlineLevel="0" collapsed="false">
      <c r="A106" s="47" t="str">
        <f aca="false">Capital_Structure!A57</f>
        <v>2024 Plan RSUs</v>
      </c>
      <c r="B106" s="15" t="n">
        <f aca="false">Capital_Structure!B57</f>
        <v>0</v>
      </c>
      <c r="C106" s="22" t="n">
        <f aca="false">Capital_Structure!C57</f>
        <v>6.873666</v>
      </c>
      <c r="D106" s="16" t="n">
        <f aca="false">Capital_Structure!D57</f>
        <v>0</v>
      </c>
      <c r="E106" s="57" t="n">
        <f aca="false">($C$94+SUMIF($B$97:$B$106,"&lt;="&amp;B106,$D$97:$D$106))/($C$95+SUMIF($B$97:$B$106,"&lt;="&amp;B106,$C$97:$C$106))</f>
        <v>58.4064913505544</v>
      </c>
      <c r="F106" s="58" t="n">
        <f aca="false">IF(E106&gt;B106,1,0)</f>
        <v>1</v>
      </c>
    </row>
    <row r="107" customFormat="false" ht="15" hidden="false" customHeight="false" outlineLevel="0" collapsed="false">
      <c r="A107" s="7" t="s">
        <v>664</v>
      </c>
      <c r="C107" s="42" t="n">
        <f aca="false">C94+SUMPRODUCT(F97:F106,D97:D106)</f>
        <v>23208.2811879146</v>
      </c>
    </row>
    <row r="108" customFormat="false" ht="15" hidden="false" customHeight="false" outlineLevel="0" collapsed="false">
      <c r="A108" s="7" t="s">
        <v>40</v>
      </c>
      <c r="C108" s="42" t="n">
        <f aca="false">C95+SUMPRODUCT(F97:F106,C97:C106)</f>
        <v>404.338272369026</v>
      </c>
    </row>
    <row r="109" customFormat="false" ht="15" hidden="false" customHeight="false" outlineLevel="0" collapsed="false">
      <c r="A109" s="3" t="s">
        <v>665</v>
      </c>
      <c r="C109" s="20" t="n">
        <f aca="false">MAX(0,C107/C108)</f>
        <v>57.3981806172759</v>
      </c>
    </row>
    <row r="110" customFormat="false" ht="15" hidden="false" customHeight="false" outlineLevel="0" collapsed="false">
      <c r="A110" s="7" t="s">
        <v>666</v>
      </c>
      <c r="C110" s="41" t="n">
        <f aca="false">C109/Market_Data!$J$7-1</f>
        <v>-0.0804520887972455</v>
      </c>
    </row>
    <row r="111" customFormat="false" ht="15" hidden="false" customHeight="false" outlineLevel="0" collapsed="false">
      <c r="A111" s="5" t="s">
        <v>667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customFormat="false" ht="15" hidden="false" customHeight="false" outlineLevel="0" collapsed="false">
      <c r="A112" s="7" t="s">
        <v>668</v>
      </c>
      <c r="C112" s="42" t="n">
        <f aca="false">Inputs!$D$36+D37</f>
        <v>174.955</v>
      </c>
    </row>
    <row r="113" customFormat="false" ht="15" hidden="false" customHeight="false" outlineLevel="0" collapsed="false">
      <c r="A113" s="7" t="s">
        <v>669</v>
      </c>
      <c r="C113" s="42" t="n">
        <f aca="false">MIN(D69:R69)</f>
        <v>-3413.28016616826</v>
      </c>
    </row>
    <row r="114" customFormat="false" ht="15" hidden="false" customHeight="false" outlineLevel="0" collapsed="false">
      <c r="A114" s="7" t="s">
        <v>44</v>
      </c>
      <c r="C114" s="45" t="n">
        <f aca="false">MAX(D39:R39)</f>
        <v>1.81976353129708</v>
      </c>
    </row>
    <row r="115" customFormat="false" ht="15" hidden="false" customHeight="false" outlineLevel="0" collapsed="false">
      <c r="A115" s="7" t="s">
        <v>670</v>
      </c>
      <c r="C115" s="41" t="n">
        <f aca="false">IF(N37&lt;=0,0,(R37/N37)^(1/4)-1)</f>
        <v>0.0280416239115713</v>
      </c>
    </row>
    <row r="116" customFormat="false" ht="15" hidden="false" customHeight="false" outlineLevel="0" collapsed="false">
      <c r="A116" s="7" t="s">
        <v>26</v>
      </c>
      <c r="C116" s="41" t="n">
        <f aca="false">R50</f>
        <v>0.638297874324412</v>
      </c>
    </row>
    <row r="117" customFormat="false" ht="15" hidden="false" customHeight="false" outlineLevel="0" collapsed="false">
      <c r="A117" s="7" t="s">
        <v>671</v>
      </c>
      <c r="C117" s="42" t="n">
        <f aca="false">H37</f>
        <v>3252.79224401564</v>
      </c>
    </row>
    <row r="118" customFormat="false" ht="15" hidden="false" customHeight="false" outlineLevel="0" collapsed="false">
      <c r="A118" s="7" t="s">
        <v>672</v>
      </c>
      <c r="C118" s="42" t="n">
        <f aca="false">M37</f>
        <v>5926.91537622146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19" min="4" style="0" width="10"/>
  </cols>
  <sheetData>
    <row r="1" customFormat="false" ht="17.35" hidden="false" customHeight="false" outlineLevel="0" collapsed="false">
      <c r="A1" s="1" t="s">
        <v>673</v>
      </c>
    </row>
    <row r="2" customFormat="false" ht="15" hidden="false" customHeight="false" outlineLevel="0" collapsed="false">
      <c r="A2" s="2" t="s">
        <v>674</v>
      </c>
    </row>
    <row r="5" customFormat="false" ht="15" hidden="false" customHeight="false" outlineLevel="0" collapsed="false">
      <c r="A5" s="7" t="s">
        <v>415</v>
      </c>
      <c r="B5" s="17"/>
      <c r="D5" s="3" t="s">
        <v>416</v>
      </c>
      <c r="E5" s="3" t="s">
        <v>417</v>
      </c>
      <c r="F5" s="3" t="s">
        <v>418</v>
      </c>
      <c r="G5" s="3" t="s">
        <v>419</v>
      </c>
      <c r="H5" s="3" t="s">
        <v>420</v>
      </c>
      <c r="I5" s="3" t="s">
        <v>421</v>
      </c>
      <c r="J5" s="3" t="s">
        <v>422</v>
      </c>
      <c r="K5" s="3" t="s">
        <v>423</v>
      </c>
      <c r="L5" s="3" t="s">
        <v>424</v>
      </c>
      <c r="M5" s="3" t="s">
        <v>425</v>
      </c>
      <c r="N5" s="3" t="s">
        <v>426</v>
      </c>
      <c r="O5" s="3" t="s">
        <v>427</v>
      </c>
      <c r="P5" s="3" t="s">
        <v>428</v>
      </c>
      <c r="Q5" s="3" t="s">
        <v>429</v>
      </c>
      <c r="R5" s="3" t="s">
        <v>430</v>
      </c>
      <c r="S5" s="3" t="s">
        <v>570</v>
      </c>
    </row>
    <row r="6" customFormat="false" ht="15" hidden="false" customHeight="false" outlineLevel="0" collapsed="false">
      <c r="A6" s="7" t="s">
        <v>571</v>
      </c>
      <c r="B6" s="17" t="s">
        <v>64</v>
      </c>
      <c r="D6" s="25" t="n">
        <v>2026</v>
      </c>
      <c r="E6" s="25" t="n">
        <v>2027</v>
      </c>
      <c r="F6" s="25" t="n">
        <v>2028</v>
      </c>
      <c r="G6" s="25" t="n">
        <v>2029</v>
      </c>
      <c r="H6" s="25" t="n">
        <v>2030</v>
      </c>
      <c r="I6" s="25" t="n">
        <v>2031</v>
      </c>
      <c r="J6" s="25" t="n">
        <v>2032</v>
      </c>
      <c r="K6" s="25" t="n">
        <v>2033</v>
      </c>
      <c r="L6" s="25" t="n">
        <v>2034</v>
      </c>
      <c r="M6" s="25" t="n">
        <v>2035</v>
      </c>
      <c r="N6" s="25" t="n">
        <v>2036</v>
      </c>
      <c r="O6" s="25" t="n">
        <v>2037</v>
      </c>
      <c r="P6" s="25" t="n">
        <v>2038</v>
      </c>
      <c r="Q6" s="25" t="n">
        <v>2039</v>
      </c>
      <c r="R6" s="25" t="n">
        <v>2040</v>
      </c>
      <c r="S6" s="0" t="n">
        <v>2041</v>
      </c>
    </row>
    <row r="7" customFormat="false" ht="15" hidden="false" customHeight="false" outlineLevel="0" collapsed="false">
      <c r="A7" s="7" t="s">
        <v>572</v>
      </c>
      <c r="B7" s="17" t="s">
        <v>127</v>
      </c>
      <c r="D7" s="34" t="n">
        <v>0.5</v>
      </c>
      <c r="E7" s="34" t="n">
        <v>1</v>
      </c>
      <c r="F7" s="34" t="n">
        <v>1</v>
      </c>
      <c r="G7" s="34" t="n">
        <v>1</v>
      </c>
      <c r="H7" s="34" t="n">
        <v>1</v>
      </c>
      <c r="I7" s="34" t="n">
        <v>1</v>
      </c>
      <c r="J7" s="34" t="n">
        <v>1</v>
      </c>
      <c r="K7" s="34" t="n">
        <v>1</v>
      </c>
      <c r="L7" s="34" t="n">
        <v>1</v>
      </c>
      <c r="M7" s="34" t="n">
        <v>1</v>
      </c>
      <c r="N7" s="34" t="n">
        <v>1</v>
      </c>
      <c r="O7" s="34" t="n">
        <v>1</v>
      </c>
      <c r="P7" s="34" t="n">
        <v>1</v>
      </c>
      <c r="Q7" s="34" t="n">
        <v>1</v>
      </c>
      <c r="R7" s="34" t="n">
        <v>1</v>
      </c>
    </row>
    <row r="8" customFormat="false" ht="15" hidden="false" customHeight="false" outlineLevel="0" collapsed="false">
      <c r="A8" s="7" t="s">
        <v>573</v>
      </c>
      <c r="B8" s="17" t="s">
        <v>127</v>
      </c>
      <c r="D8" s="34" t="n">
        <v>2026.5</v>
      </c>
      <c r="E8" s="34" t="n">
        <v>2027</v>
      </c>
      <c r="F8" s="34" t="n">
        <v>2028</v>
      </c>
      <c r="G8" s="34" t="n">
        <v>2029</v>
      </c>
      <c r="H8" s="34" t="n">
        <v>2030</v>
      </c>
      <c r="I8" s="34" t="n">
        <v>2031</v>
      </c>
      <c r="J8" s="34" t="n">
        <v>2032</v>
      </c>
      <c r="K8" s="34" t="n">
        <v>2033</v>
      </c>
      <c r="L8" s="34" t="n">
        <v>2034</v>
      </c>
      <c r="M8" s="34" t="n">
        <v>2035</v>
      </c>
      <c r="N8" s="34" t="n">
        <v>2036</v>
      </c>
      <c r="O8" s="34" t="n">
        <v>2037</v>
      </c>
      <c r="P8" s="34" t="n">
        <v>2038</v>
      </c>
      <c r="Q8" s="34" t="n">
        <v>2039</v>
      </c>
      <c r="R8" s="34" t="n">
        <v>2040</v>
      </c>
    </row>
    <row r="9" customFormat="false" ht="15" hidden="false" customHeight="false" outlineLevel="0" collapsed="false">
      <c r="A9" s="7" t="s">
        <v>574</v>
      </c>
      <c r="B9" s="17" t="s">
        <v>127</v>
      </c>
      <c r="D9" s="51" t="n">
        <f aca="false">D8+D7/2</f>
        <v>2026.75</v>
      </c>
      <c r="E9" s="51" t="n">
        <f aca="false">E8+E7/2</f>
        <v>2027.5</v>
      </c>
      <c r="F9" s="51" t="n">
        <f aca="false">F8+F7/2</f>
        <v>2028.5</v>
      </c>
      <c r="G9" s="51" t="n">
        <f aca="false">G8+G7/2</f>
        <v>2029.5</v>
      </c>
      <c r="H9" s="51" t="n">
        <f aca="false">H8+H7/2</f>
        <v>2030.5</v>
      </c>
      <c r="I9" s="51" t="n">
        <f aca="false">I8+I7/2</f>
        <v>2031.5</v>
      </c>
      <c r="J9" s="51" t="n">
        <f aca="false">J8+J7/2</f>
        <v>2032.5</v>
      </c>
      <c r="K9" s="51" t="n">
        <f aca="false">K8+K7/2</f>
        <v>2033.5</v>
      </c>
      <c r="L9" s="51" t="n">
        <f aca="false">L8+L7/2</f>
        <v>2034.5</v>
      </c>
      <c r="M9" s="51" t="n">
        <f aca="false">M8+M7/2</f>
        <v>2035.5</v>
      </c>
      <c r="N9" s="51" t="n">
        <f aca="false">N8+N7/2</f>
        <v>2036.5</v>
      </c>
      <c r="O9" s="51" t="n">
        <f aca="false">O8+O7/2</f>
        <v>2037.5</v>
      </c>
      <c r="P9" s="51" t="n">
        <f aca="false">P8+P7/2</f>
        <v>2038.5</v>
      </c>
      <c r="Q9" s="51" t="n">
        <f aca="false">Q8+Q7/2</f>
        <v>2039.5</v>
      </c>
      <c r="R9" s="51" t="n">
        <f aca="false">R8+R7/2</f>
        <v>2040.5</v>
      </c>
    </row>
    <row r="10" customFormat="false" ht="15" hidden="false" customHeight="false" outlineLevel="0" collapsed="false">
      <c r="A10" s="5" t="s">
        <v>575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customFormat="false" ht="15" hidden="false" customHeight="false" outlineLevel="0" collapsed="false">
      <c r="A11" s="7" t="s">
        <v>576</v>
      </c>
      <c r="B11" s="17" t="s">
        <v>134</v>
      </c>
      <c r="D11" s="52" t="n">
        <f aca="false">IF(D$6=2026,Inputs!$E$59,IF(D$6=2027,Inputs!$E$60,IF(D$6=2028,Inputs!$E$61,IF(D$6=2029,Inputs!$E$62,Inputs!$E$63))))</f>
        <v>20</v>
      </c>
      <c r="E11" s="52" t="n">
        <f aca="false">IF(E$6=2026,Inputs!$E$59,IF(E$6=2027,Inputs!$E$60,IF(E$6=2028,Inputs!$E$61,IF(E$6=2029,Inputs!$E$62,Inputs!$E$63))))</f>
        <v>45</v>
      </c>
      <c r="F11" s="52" t="n">
        <f aca="false">IF(F$6=2026,Inputs!$E$59,IF(F$6=2027,Inputs!$E$60,IF(F$6=2028,Inputs!$E$61,IF(F$6=2029,Inputs!$E$62,Inputs!$E$63))))</f>
        <v>60</v>
      </c>
      <c r="G11" s="52" t="n">
        <f aca="false">IF(G$6=2026,Inputs!$E$59,IF(G$6=2027,Inputs!$E$60,IF(G$6=2028,Inputs!$E$61,IF(G$6=2029,Inputs!$E$62,Inputs!$E$63))))</f>
        <v>75</v>
      </c>
      <c r="H11" s="52" t="n">
        <f aca="false">IF(H$6=2026,Inputs!$E$59,IF(H$6=2027,Inputs!$E$60,IF(H$6=2028,Inputs!$E$61,IF(H$6=2029,Inputs!$E$62,Inputs!$E$63))))</f>
        <v>90</v>
      </c>
      <c r="I11" s="52" t="n">
        <f aca="false">IF(I$6=2026,Inputs!$E$59,IF(I$6=2027,Inputs!$E$60,IF(I$6=2028,Inputs!$E$61,IF(I$6=2029,Inputs!$E$62,Inputs!$E$63))))</f>
        <v>90</v>
      </c>
      <c r="J11" s="52" t="n">
        <f aca="false">IF(J$6=2026,Inputs!$E$59,IF(J$6=2027,Inputs!$E$60,IF(J$6=2028,Inputs!$E$61,IF(J$6=2029,Inputs!$E$62,Inputs!$E$63))))</f>
        <v>90</v>
      </c>
      <c r="K11" s="52" t="n">
        <f aca="false">IF(K$6=2026,Inputs!$E$59,IF(K$6=2027,Inputs!$E$60,IF(K$6=2028,Inputs!$E$61,IF(K$6=2029,Inputs!$E$62,Inputs!$E$63))))</f>
        <v>90</v>
      </c>
      <c r="L11" s="52" t="n">
        <f aca="false">IF(L$6=2026,Inputs!$E$59,IF(L$6=2027,Inputs!$E$60,IF(L$6=2028,Inputs!$E$61,IF(L$6=2029,Inputs!$E$62,Inputs!$E$63))))</f>
        <v>90</v>
      </c>
      <c r="M11" s="52" t="n">
        <f aca="false">IF(M$6=2026,Inputs!$E$59,IF(M$6=2027,Inputs!$E$60,IF(M$6=2028,Inputs!$E$61,IF(M$6=2029,Inputs!$E$62,Inputs!$E$63))))</f>
        <v>90</v>
      </c>
      <c r="N11" s="52" t="n">
        <f aca="false">IF(N$6=2026,Inputs!$E$59,IF(N$6=2027,Inputs!$E$60,IF(N$6=2028,Inputs!$E$61,IF(N$6=2029,Inputs!$E$62,Inputs!$E$63))))</f>
        <v>90</v>
      </c>
      <c r="O11" s="52" t="n">
        <f aca="false">IF(O$6=2026,Inputs!$E$59,IF(O$6=2027,Inputs!$E$60,IF(O$6=2028,Inputs!$E$61,IF(O$6=2029,Inputs!$E$62,Inputs!$E$63))))</f>
        <v>90</v>
      </c>
      <c r="P11" s="52" t="n">
        <f aca="false">IF(P$6=2026,Inputs!$E$59,IF(P$6=2027,Inputs!$E$60,IF(P$6=2028,Inputs!$E$61,IF(P$6=2029,Inputs!$E$62,Inputs!$E$63))))</f>
        <v>90</v>
      </c>
      <c r="Q11" s="52" t="n">
        <f aca="false">IF(Q$6=2026,Inputs!$E$59,IF(Q$6=2027,Inputs!$E$60,IF(Q$6=2028,Inputs!$E$61,IF(Q$6=2029,Inputs!$E$62,Inputs!$E$63))))</f>
        <v>90</v>
      </c>
      <c r="R11" s="52" t="n">
        <f aca="false">IF(R$6=2026,Inputs!$E$59,IF(R$6=2027,Inputs!$E$60,IF(R$6=2028,Inputs!$E$61,IF(R$6=2029,Inputs!$E$62,Inputs!$E$63))))</f>
        <v>90</v>
      </c>
    </row>
    <row r="12" customFormat="false" ht="15" hidden="false" customHeight="false" outlineLevel="0" collapsed="false">
      <c r="A12" s="7" t="s">
        <v>577</v>
      </c>
      <c r="B12" s="17" t="s">
        <v>134</v>
      </c>
      <c r="D12" s="52" t="n">
        <f aca="false">Inputs!$D$28</f>
        <v>4</v>
      </c>
      <c r="E12" s="50" t="n">
        <f aca="false">D15</f>
        <v>20</v>
      </c>
      <c r="F12" s="50" t="n">
        <f aca="false">E15</f>
        <v>45</v>
      </c>
      <c r="G12" s="50" t="n">
        <f aca="false">F15</f>
        <v>60</v>
      </c>
      <c r="H12" s="50" t="n">
        <f aca="false">G15</f>
        <v>75</v>
      </c>
      <c r="I12" s="50" t="n">
        <f aca="false">H15</f>
        <v>90</v>
      </c>
      <c r="J12" s="50" t="n">
        <f aca="false">I15</f>
        <v>90</v>
      </c>
      <c r="K12" s="50" t="n">
        <f aca="false">J15</f>
        <v>90</v>
      </c>
      <c r="L12" s="50" t="n">
        <f aca="false">K15</f>
        <v>90</v>
      </c>
      <c r="M12" s="50" t="n">
        <f aca="false">L15</f>
        <v>90</v>
      </c>
      <c r="N12" s="50" t="n">
        <f aca="false">M15</f>
        <v>90</v>
      </c>
      <c r="O12" s="50" t="n">
        <f aca="false">N15</f>
        <v>90</v>
      </c>
      <c r="P12" s="50" t="n">
        <f aca="false">O15</f>
        <v>90</v>
      </c>
      <c r="Q12" s="50" t="n">
        <f aca="false">P15</f>
        <v>90</v>
      </c>
      <c r="R12" s="50" t="n">
        <f aca="false">Q15</f>
        <v>90</v>
      </c>
    </row>
    <row r="13" customFormat="false" ht="15" hidden="false" customHeight="false" outlineLevel="0" collapsed="false">
      <c r="A13" s="7" t="s">
        <v>578</v>
      </c>
      <c r="B13" s="17" t="s">
        <v>134</v>
      </c>
      <c r="D13" s="50" t="n">
        <f aca="false">0</f>
        <v>0</v>
      </c>
      <c r="E13" s="50" t="n">
        <f aca="false">IF(E$6-ROUND(Inputs!$D$26,0)=2026,$D$14+Inputs!$D$28,IF(E$6-ROUND(Inputs!$D$26,0)&gt;=2027,INDEX($D$14:D14,1,E$6-ROUND(Inputs!$D$26,0)-2026+1),0))</f>
        <v>0</v>
      </c>
      <c r="F13" s="50" t="n">
        <f aca="false">IF(F$6-ROUND(Inputs!$D$26,0)=2026,$D$14+Inputs!$D$28,IF(F$6-ROUND(Inputs!$D$26,0)&gt;=2027,INDEX($D$14:E14,1,F$6-ROUND(Inputs!$D$26,0)-2026+1),0))</f>
        <v>0</v>
      </c>
      <c r="G13" s="50" t="n">
        <f aca="false">IF(G$6-ROUND(Inputs!$D$26,0)=2026,$D$14+Inputs!$D$28,IF(G$6-ROUND(Inputs!$D$26,0)&gt;=2027,INDEX($D$14:F14,1,G$6-ROUND(Inputs!$D$26,0)-2026+1),0))</f>
        <v>0</v>
      </c>
      <c r="H13" s="50" t="n">
        <f aca="false">IF(H$6-ROUND(Inputs!$D$26,0)=2026,$D$14+Inputs!$D$28,IF(H$6-ROUND(Inputs!$D$26,0)&gt;=2027,INDEX($D$14:G14,1,H$6-ROUND(Inputs!$D$26,0)-2026+1),0))</f>
        <v>0</v>
      </c>
      <c r="I13" s="50" t="n">
        <f aca="false">IF(I$6-ROUND(Inputs!$D$26,0)=2026,$D$14+Inputs!$D$28,IF(I$6-ROUND(Inputs!$D$26,0)&gt;=2027,INDEX($D$14:H14,1,I$6-ROUND(Inputs!$D$26,0)-2026+1),0))</f>
        <v>0</v>
      </c>
      <c r="J13" s="50" t="n">
        <f aca="false">IF(J$6-ROUND(Inputs!$D$26,0)=2026,$D$14+Inputs!$D$28,IF(J$6-ROUND(Inputs!$D$26,0)&gt;=2027,INDEX($D$14:I14,1,J$6-ROUND(Inputs!$D$26,0)-2026+1),0))</f>
        <v>0</v>
      </c>
      <c r="K13" s="50" t="n">
        <f aca="false">IF(K$6-ROUND(Inputs!$D$26,0)=2026,$D$14+Inputs!$D$28,IF(K$6-ROUND(Inputs!$D$26,0)&gt;=2027,INDEX($D$14:J14,1,K$6-ROUND(Inputs!$D$26,0)-2026+1),0))</f>
        <v>20</v>
      </c>
      <c r="L13" s="50" t="n">
        <f aca="false">IF(L$6-ROUND(Inputs!$D$26,0)=2026,$D$14+Inputs!$D$28,IF(L$6-ROUND(Inputs!$D$26,0)&gt;=2027,INDEX($D$14:K14,1,L$6-ROUND(Inputs!$D$26,0)-2026+1),0))</f>
        <v>25</v>
      </c>
      <c r="M13" s="50" t="n">
        <f aca="false">IF(M$6-ROUND(Inputs!$D$26,0)=2026,$D$14+Inputs!$D$28,IF(M$6-ROUND(Inputs!$D$26,0)&gt;=2027,INDEX($D$14:L14,1,M$6-ROUND(Inputs!$D$26,0)-2026+1),0))</f>
        <v>15</v>
      </c>
      <c r="N13" s="50" t="n">
        <f aca="false">IF(N$6-ROUND(Inputs!$D$26,0)=2026,$D$14+Inputs!$D$28,IF(N$6-ROUND(Inputs!$D$26,0)&gt;=2027,INDEX($D$14:M14,1,N$6-ROUND(Inputs!$D$26,0)-2026+1),0))</f>
        <v>15</v>
      </c>
      <c r="O13" s="50" t="n">
        <f aca="false">IF(O$6-ROUND(Inputs!$D$26,0)=2026,$D$14+Inputs!$D$28,IF(O$6-ROUND(Inputs!$D$26,0)&gt;=2027,INDEX($D$14:N14,1,O$6-ROUND(Inputs!$D$26,0)-2026+1),0))</f>
        <v>15</v>
      </c>
      <c r="P13" s="50" t="n">
        <f aca="false">IF(P$6-ROUND(Inputs!$D$26,0)=2026,$D$14+Inputs!$D$28,IF(P$6-ROUND(Inputs!$D$26,0)&gt;=2027,INDEX($D$14:O14,1,P$6-ROUND(Inputs!$D$26,0)-2026+1),0))</f>
        <v>0</v>
      </c>
      <c r="Q13" s="50" t="n">
        <f aca="false">IF(Q$6-ROUND(Inputs!$D$26,0)=2026,$D$14+Inputs!$D$28,IF(Q$6-ROUND(Inputs!$D$26,0)&gt;=2027,INDEX($D$14:P14,1,Q$6-ROUND(Inputs!$D$26,0)-2026+1),0))</f>
        <v>0</v>
      </c>
      <c r="R13" s="50" t="n">
        <f aca="false">IF(R$6-ROUND(Inputs!$D$26,0)=2026,$D$14+Inputs!$D$28,IF(R$6-ROUND(Inputs!$D$26,0)&gt;=2027,INDEX($D$14:Q14,1,R$6-ROUND(Inputs!$D$26,0)-2026+1),0))</f>
        <v>20</v>
      </c>
    </row>
    <row r="14" customFormat="false" ht="15" hidden="false" customHeight="false" outlineLevel="0" collapsed="false">
      <c r="A14" s="7" t="s">
        <v>579</v>
      </c>
      <c r="B14" s="17" t="s">
        <v>134</v>
      </c>
      <c r="D14" s="50" t="n">
        <f aca="false">MAX(0,D11-D12+D13)</f>
        <v>16</v>
      </c>
      <c r="E14" s="50" t="n">
        <f aca="false">MAX(0,E11-E12+E13)</f>
        <v>25</v>
      </c>
      <c r="F14" s="50" t="n">
        <f aca="false">MAX(0,F11-F12+F13)</f>
        <v>15</v>
      </c>
      <c r="G14" s="50" t="n">
        <f aca="false">MAX(0,G11-G12+G13)</f>
        <v>15</v>
      </c>
      <c r="H14" s="50" t="n">
        <f aca="false">MAX(0,H11-H12+H13)</f>
        <v>15</v>
      </c>
      <c r="I14" s="50" t="n">
        <f aca="false">MAX(0,I11-I12+I13)</f>
        <v>0</v>
      </c>
      <c r="J14" s="50" t="n">
        <f aca="false">MAX(0,J11-J12+J13)</f>
        <v>0</v>
      </c>
      <c r="K14" s="50" t="n">
        <f aca="false">MAX(0,K11-K12+K13)</f>
        <v>20</v>
      </c>
      <c r="L14" s="50" t="n">
        <f aca="false">MAX(0,L11-L12+L13)</f>
        <v>25</v>
      </c>
      <c r="M14" s="50" t="n">
        <f aca="false">MAX(0,M11-M12+M13)</f>
        <v>15</v>
      </c>
      <c r="N14" s="50" t="n">
        <f aca="false">MAX(0,N11-N12+N13)</f>
        <v>15</v>
      </c>
      <c r="O14" s="50" t="n">
        <f aca="false">MAX(0,O11-O12+O13)</f>
        <v>15</v>
      </c>
      <c r="P14" s="50" t="n">
        <f aca="false">MAX(0,P11-P12+P13)</f>
        <v>0</v>
      </c>
      <c r="Q14" s="50" t="n">
        <f aca="false">MAX(0,Q11-Q12+Q13)</f>
        <v>0</v>
      </c>
      <c r="R14" s="50" t="n">
        <f aca="false">MAX(0,R11-R12+R13)</f>
        <v>20</v>
      </c>
    </row>
    <row r="15" customFormat="false" ht="15" hidden="false" customHeight="false" outlineLevel="0" collapsed="false">
      <c r="A15" s="3" t="s">
        <v>580</v>
      </c>
      <c r="B15" s="17" t="s">
        <v>134</v>
      </c>
      <c r="D15" s="53" t="n">
        <f aca="false">D12-D13+D14</f>
        <v>20</v>
      </c>
      <c r="E15" s="53" t="n">
        <f aca="false">E12-E13+E14</f>
        <v>45</v>
      </c>
      <c r="F15" s="53" t="n">
        <f aca="false">F12-F13+F14</f>
        <v>60</v>
      </c>
      <c r="G15" s="53" t="n">
        <f aca="false">G12-G13+G14</f>
        <v>75</v>
      </c>
      <c r="H15" s="53" t="n">
        <f aca="false">H12-H13+H14</f>
        <v>90</v>
      </c>
      <c r="I15" s="53" t="n">
        <f aca="false">I12-I13+I14</f>
        <v>90</v>
      </c>
      <c r="J15" s="53" t="n">
        <f aca="false">J12-J13+J14</f>
        <v>90</v>
      </c>
      <c r="K15" s="53" t="n">
        <f aca="false">K12-K13+K14</f>
        <v>90</v>
      </c>
      <c r="L15" s="53" t="n">
        <f aca="false">L12-L13+L14</f>
        <v>90</v>
      </c>
      <c r="M15" s="53" t="n">
        <f aca="false">M12-M13+M14</f>
        <v>90</v>
      </c>
      <c r="N15" s="53" t="n">
        <f aca="false">N12-N13+N14</f>
        <v>90</v>
      </c>
      <c r="O15" s="53" t="n">
        <f aca="false">O12-O13+O14</f>
        <v>90</v>
      </c>
      <c r="P15" s="53" t="n">
        <f aca="false">P12-P13+P14</f>
        <v>90</v>
      </c>
      <c r="Q15" s="53" t="n">
        <f aca="false">Q12-Q13+Q14</f>
        <v>90</v>
      </c>
      <c r="R15" s="53" t="n">
        <f aca="false">R12-R13+R14</f>
        <v>90</v>
      </c>
    </row>
    <row r="16" customFormat="false" ht="15" hidden="false" customHeight="false" outlineLevel="0" collapsed="false">
      <c r="A16" s="7" t="s">
        <v>581</v>
      </c>
      <c r="B16" s="17" t="s">
        <v>134</v>
      </c>
      <c r="D16" s="42" t="n">
        <f aca="false">D14/(1-Inputs!$D$27)</f>
        <v>16.8421052631579</v>
      </c>
      <c r="E16" s="42" t="n">
        <f aca="false">E14/(1-Inputs!$D$27)</f>
        <v>26.3157894736842</v>
      </c>
      <c r="F16" s="42" t="n">
        <f aca="false">F14/(1-Inputs!$D$27)</f>
        <v>15.7894736842105</v>
      </c>
      <c r="G16" s="42" t="n">
        <f aca="false">G14/(1-Inputs!$D$27)</f>
        <v>15.7894736842105</v>
      </c>
      <c r="H16" s="42" t="n">
        <f aca="false">H14/(1-Inputs!$D$27)</f>
        <v>15.7894736842105</v>
      </c>
      <c r="I16" s="42" t="n">
        <f aca="false">I14/(1-Inputs!$D$27)</f>
        <v>0</v>
      </c>
      <c r="J16" s="42" t="n">
        <f aca="false">J14/(1-Inputs!$D$27)</f>
        <v>0</v>
      </c>
      <c r="K16" s="42" t="n">
        <f aca="false">K14/(1-Inputs!$D$27)</f>
        <v>21.0526315789474</v>
      </c>
      <c r="L16" s="42" t="n">
        <f aca="false">L14/(1-Inputs!$D$27)</f>
        <v>26.3157894736842</v>
      </c>
      <c r="M16" s="42" t="n">
        <f aca="false">M14/(1-Inputs!$D$27)</f>
        <v>15.7894736842105</v>
      </c>
      <c r="N16" s="42" t="n">
        <f aca="false">N14/(1-Inputs!$D$27)</f>
        <v>15.7894736842105</v>
      </c>
      <c r="O16" s="42" t="n">
        <f aca="false">O14/(1-Inputs!$D$27)</f>
        <v>15.7894736842105</v>
      </c>
      <c r="P16" s="42" t="n">
        <f aca="false">P14/(1-Inputs!$D$27)</f>
        <v>0</v>
      </c>
      <c r="Q16" s="42" t="n">
        <f aca="false">Q14/(1-Inputs!$D$27)</f>
        <v>0</v>
      </c>
      <c r="R16" s="42" t="n">
        <f aca="false">R14/(1-Inputs!$D$27)</f>
        <v>21.0526315789474</v>
      </c>
    </row>
    <row r="17" customFormat="false" ht="15" hidden="false" customHeight="false" outlineLevel="0" collapsed="false">
      <c r="A17" s="7" t="s">
        <v>582</v>
      </c>
      <c r="B17" s="17" t="s">
        <v>134</v>
      </c>
      <c r="D17" s="42" t="n">
        <f aca="false">(D12+D15)/2</f>
        <v>12</v>
      </c>
      <c r="E17" s="42" t="n">
        <f aca="false">(E12+E15)/2</f>
        <v>32.5</v>
      </c>
      <c r="F17" s="42" t="n">
        <f aca="false">(F12+F15)/2</f>
        <v>52.5</v>
      </c>
      <c r="G17" s="42" t="n">
        <f aca="false">(G12+G15)/2</f>
        <v>67.5</v>
      </c>
      <c r="H17" s="42" t="n">
        <f aca="false">(H12+H15)/2</f>
        <v>82.5</v>
      </c>
      <c r="I17" s="42" t="n">
        <f aca="false">(I12+I15)/2</f>
        <v>90</v>
      </c>
      <c r="J17" s="42" t="n">
        <f aca="false">(J12+J15)/2</f>
        <v>90</v>
      </c>
      <c r="K17" s="42" t="n">
        <f aca="false">(K12+K15)/2</f>
        <v>90</v>
      </c>
      <c r="L17" s="42" t="n">
        <f aca="false">(L12+L15)/2</f>
        <v>90</v>
      </c>
      <c r="M17" s="42" t="n">
        <f aca="false">(M12+M15)/2</f>
        <v>90</v>
      </c>
      <c r="N17" s="42" t="n">
        <f aca="false">(N12+N15)/2</f>
        <v>90</v>
      </c>
      <c r="O17" s="42" t="n">
        <f aca="false">(O12+O15)/2</f>
        <v>90</v>
      </c>
      <c r="P17" s="42" t="n">
        <f aca="false">(P12+P15)/2</f>
        <v>90</v>
      </c>
      <c r="Q17" s="42" t="n">
        <f aca="false">(Q12+Q15)/2</f>
        <v>90</v>
      </c>
      <c r="R17" s="42" t="n">
        <f aca="false">(R12+R15)/2</f>
        <v>90</v>
      </c>
    </row>
    <row r="18" customFormat="false" ht="15" hidden="false" customHeight="false" outlineLevel="0" collapsed="false">
      <c r="A18" s="7" t="s">
        <v>583</v>
      </c>
      <c r="B18" s="17" t="s">
        <v>116</v>
      </c>
      <c r="D18" s="42" t="n">
        <f aca="false">Inputs!$E$64*(1+Inputs!$E$65)^MAX(0,D$6-2028)</f>
        <v>24</v>
      </c>
      <c r="E18" s="42" t="n">
        <f aca="false">Inputs!$E$64*(1+Inputs!$E$65)^MAX(0,E$6-2028)</f>
        <v>24</v>
      </c>
      <c r="F18" s="42" t="n">
        <f aca="false">Inputs!$E$64*(1+Inputs!$E$65)^MAX(0,F$6-2028)</f>
        <v>24</v>
      </c>
      <c r="G18" s="42" t="n">
        <f aca="false">Inputs!$E$64*(1+Inputs!$E$65)^MAX(0,G$6-2028)</f>
        <v>24.6</v>
      </c>
      <c r="H18" s="42" t="n">
        <f aca="false">Inputs!$E$64*(1+Inputs!$E$65)^MAX(0,H$6-2028)</f>
        <v>25.215</v>
      </c>
      <c r="I18" s="42" t="n">
        <f aca="false">Inputs!$E$64*(1+Inputs!$E$65)^MAX(0,I$6-2028)</f>
        <v>25.845375</v>
      </c>
      <c r="J18" s="42" t="n">
        <f aca="false">Inputs!$E$64*(1+Inputs!$E$65)^MAX(0,J$6-2028)</f>
        <v>26.491509375</v>
      </c>
      <c r="K18" s="42" t="n">
        <f aca="false">Inputs!$E$64*(1+Inputs!$E$65)^MAX(0,K$6-2028)</f>
        <v>27.153797109375</v>
      </c>
      <c r="L18" s="42" t="n">
        <f aca="false">Inputs!$E$64*(1+Inputs!$E$65)^MAX(0,L$6-2028)</f>
        <v>27.8326420371094</v>
      </c>
      <c r="M18" s="42" t="n">
        <f aca="false">Inputs!$E$64*(1+Inputs!$E$65)^MAX(0,M$6-2028)</f>
        <v>28.5284580880371</v>
      </c>
      <c r="N18" s="42" t="n">
        <f aca="false">Inputs!$E$64*(1+Inputs!$E$65)^MAX(0,N$6-2028)</f>
        <v>29.241669540238</v>
      </c>
      <c r="O18" s="42" t="n">
        <f aca="false">Inputs!$E$64*(1+Inputs!$E$65)^MAX(0,O$6-2028)</f>
        <v>29.972711278744</v>
      </c>
      <c r="P18" s="42" t="n">
        <f aca="false">Inputs!$E$64*(1+Inputs!$E$65)^MAX(0,P$6-2028)</f>
        <v>30.7220290607126</v>
      </c>
      <c r="Q18" s="42" t="n">
        <f aca="false">Inputs!$E$64*(1+Inputs!$E$65)^MAX(0,Q$6-2028)</f>
        <v>31.4900797872304</v>
      </c>
      <c r="R18" s="42" t="n">
        <f aca="false">Inputs!$E$64*(1+Inputs!$E$65)^MAX(0,R$6-2028)</f>
        <v>32.2773317819111</v>
      </c>
    </row>
    <row r="19" customFormat="false" ht="15" hidden="false" customHeight="false" outlineLevel="0" collapsed="false">
      <c r="A19" s="7" t="s">
        <v>584</v>
      </c>
      <c r="B19" s="17" t="s">
        <v>116</v>
      </c>
      <c r="D19" s="42" t="n">
        <f aca="false">D16*D18</f>
        <v>404.21052631579</v>
      </c>
      <c r="E19" s="42" t="n">
        <f aca="false">E16*E18</f>
        <v>631.578947368421</v>
      </c>
      <c r="F19" s="42" t="n">
        <f aca="false">F16*F18</f>
        <v>378.947368421053</v>
      </c>
      <c r="G19" s="42" t="n">
        <f aca="false">G16*G18</f>
        <v>388.421052631579</v>
      </c>
      <c r="H19" s="42" t="n">
        <f aca="false">H16*H18</f>
        <v>398.131578947368</v>
      </c>
      <c r="I19" s="42" t="n">
        <f aca="false">I16*I18</f>
        <v>0</v>
      </c>
      <c r="J19" s="42" t="n">
        <f aca="false">J16*J18</f>
        <v>0</v>
      </c>
      <c r="K19" s="42" t="n">
        <f aca="false">K16*K18</f>
        <v>571.658886513158</v>
      </c>
      <c r="L19" s="42" t="n">
        <f aca="false">L16*L18</f>
        <v>732.437948344983</v>
      </c>
      <c r="M19" s="42" t="n">
        <f aca="false">M16*M18</f>
        <v>450.449338232165</v>
      </c>
      <c r="N19" s="42" t="n">
        <f aca="false">N16*N18</f>
        <v>461.710571687969</v>
      </c>
      <c r="O19" s="42" t="n">
        <f aca="false">O16*O18</f>
        <v>473.253335980168</v>
      </c>
      <c r="P19" s="42" t="n">
        <f aca="false">P16*P18</f>
        <v>0</v>
      </c>
      <c r="Q19" s="42" t="n">
        <f aca="false">Q16*Q18</f>
        <v>0</v>
      </c>
      <c r="R19" s="42" t="n">
        <f aca="false">R16*R18</f>
        <v>679.522774356024</v>
      </c>
    </row>
    <row r="20" customFormat="false" ht="15" hidden="false" customHeight="false" outlineLevel="0" collapsed="false">
      <c r="A20" s="7" t="s">
        <v>585</v>
      </c>
      <c r="C20" s="54" t="n">
        <f aca="false">Inputs!$D$29*Inputs!$E$66</f>
        <v>775.83825</v>
      </c>
    </row>
    <row r="21" customFormat="false" ht="15" hidden="false" customHeight="false" outlineLevel="0" collapsed="false">
      <c r="A21" s="7" t="s">
        <v>586</v>
      </c>
      <c r="B21" s="17" t="s">
        <v>116</v>
      </c>
      <c r="D21" s="42" t="n">
        <f aca="false">MIN(D19,$C$20)</f>
        <v>404.21052631579</v>
      </c>
      <c r="E21" s="42" t="n">
        <f aca="false">MIN(E19,$C$20-SUM($D$21:D21))</f>
        <v>371.627723684211</v>
      </c>
      <c r="F21" s="42" t="n">
        <f aca="false">MIN(F19,$C$20-SUM($D$21:E21))</f>
        <v>0</v>
      </c>
      <c r="G21" s="42" t="n">
        <f aca="false">MIN(G19,$C$20-SUM($D$21:F21))</f>
        <v>0</v>
      </c>
      <c r="H21" s="42" t="n">
        <f aca="false">MIN(H19,$C$20-SUM($D$21:G21))</f>
        <v>0</v>
      </c>
      <c r="I21" s="42" t="n">
        <f aca="false">MIN(I19,$C$20-SUM($D$21:H21))</f>
        <v>0</v>
      </c>
      <c r="J21" s="42" t="n">
        <f aca="false">MIN(J19,$C$20-SUM($D$21:I21))</f>
        <v>0</v>
      </c>
      <c r="K21" s="42" t="n">
        <f aca="false">MIN(K19,$C$20-SUM($D$21:J21))</f>
        <v>0</v>
      </c>
      <c r="L21" s="42" t="n">
        <f aca="false">MIN(L19,$C$20-SUM($D$21:K21))</f>
        <v>0</v>
      </c>
      <c r="M21" s="42" t="n">
        <f aca="false">MIN(M19,$C$20-SUM($D$21:L21))</f>
        <v>0</v>
      </c>
      <c r="N21" s="42" t="n">
        <f aca="false">MIN(N19,$C$20-SUM($D$21:M21))</f>
        <v>0</v>
      </c>
      <c r="O21" s="42" t="n">
        <f aca="false">MIN(O19,$C$20-SUM($D$21:N21))</f>
        <v>0</v>
      </c>
      <c r="P21" s="42" t="n">
        <f aca="false">MIN(P19,$C$20-SUM($D$21:O21))</f>
        <v>0</v>
      </c>
      <c r="Q21" s="42" t="n">
        <f aca="false">MIN(Q19,$C$20-SUM($D$21:P21))</f>
        <v>0</v>
      </c>
      <c r="R21" s="42" t="n">
        <f aca="false">MIN(R19,$C$20-SUM($D$21:Q21))</f>
        <v>0</v>
      </c>
    </row>
    <row r="22" customFormat="false" ht="15" hidden="false" customHeight="false" outlineLevel="0" collapsed="false">
      <c r="A22" s="3" t="s">
        <v>587</v>
      </c>
      <c r="B22" s="17" t="s">
        <v>116</v>
      </c>
      <c r="D22" s="55" t="n">
        <f aca="false">D19-D21</f>
        <v>0</v>
      </c>
      <c r="E22" s="55" t="n">
        <f aca="false">E19-E21</f>
        <v>259.951223684211</v>
      </c>
      <c r="F22" s="55" t="n">
        <f aca="false">F19-F21</f>
        <v>378.947368421053</v>
      </c>
      <c r="G22" s="55" t="n">
        <f aca="false">G19-G21</f>
        <v>388.421052631579</v>
      </c>
      <c r="H22" s="55" t="n">
        <f aca="false">H19-H21</f>
        <v>398.131578947368</v>
      </c>
      <c r="I22" s="55" t="n">
        <f aca="false">I19-I21</f>
        <v>0</v>
      </c>
      <c r="J22" s="55" t="n">
        <f aca="false">J19-J21</f>
        <v>0</v>
      </c>
      <c r="K22" s="55" t="n">
        <f aca="false">K19-K21</f>
        <v>571.658886513158</v>
      </c>
      <c r="L22" s="55" t="n">
        <f aca="false">L19-L21</f>
        <v>732.437948344983</v>
      </c>
      <c r="M22" s="55" t="n">
        <f aca="false">M19-M21</f>
        <v>450.449338232165</v>
      </c>
      <c r="N22" s="55" t="n">
        <f aca="false">N19-N21</f>
        <v>461.710571687969</v>
      </c>
      <c r="O22" s="55" t="n">
        <f aca="false">O19-O21</f>
        <v>473.253335980168</v>
      </c>
      <c r="P22" s="55" t="n">
        <f aca="false">P19-P21</f>
        <v>0</v>
      </c>
      <c r="Q22" s="55" t="n">
        <f aca="false">Q19-Q21</f>
        <v>0</v>
      </c>
      <c r="R22" s="55" t="n">
        <f aca="false">R19-R21</f>
        <v>679.522774356024</v>
      </c>
    </row>
    <row r="23" customFormat="false" ht="15" hidden="false" customHeight="false" outlineLevel="0" collapsed="false">
      <c r="A23" s="5" t="s">
        <v>588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customFormat="false" ht="15" hidden="false" customHeight="false" outlineLevel="0" collapsed="false">
      <c r="A24" s="7" t="s">
        <v>589</v>
      </c>
      <c r="B24" s="17" t="s">
        <v>68</v>
      </c>
      <c r="D24" s="41" t="n">
        <f aca="false">MIN(1,MAX(0,(D17-Inputs!$D$32)/(Inputs!$D$33-Inputs!$D$32)))</f>
        <v>0</v>
      </c>
      <c r="E24" s="41" t="n">
        <f aca="false">MIN(1,MAX(0,(E17-Inputs!$D$32)/(Inputs!$D$33-Inputs!$D$32)))</f>
        <v>0.3125</v>
      </c>
      <c r="F24" s="41" t="n">
        <f aca="false">MIN(1,MAX(0,(F17-Inputs!$D$32)/(Inputs!$D$33-Inputs!$D$32)))</f>
        <v>0.8125</v>
      </c>
      <c r="G24" s="41" t="n">
        <f aca="false">MIN(1,MAX(0,(G17-Inputs!$D$32)/(Inputs!$D$33-Inputs!$D$32)))</f>
        <v>1</v>
      </c>
      <c r="H24" s="41" t="n">
        <f aca="false">MIN(1,MAX(0,(H17-Inputs!$D$32)/(Inputs!$D$33-Inputs!$D$32)))</f>
        <v>1</v>
      </c>
      <c r="I24" s="41" t="n">
        <f aca="false">MIN(1,MAX(0,(I17-Inputs!$D$32)/(Inputs!$D$33-Inputs!$D$32)))</f>
        <v>1</v>
      </c>
      <c r="J24" s="41" t="n">
        <f aca="false">MIN(1,MAX(0,(J17-Inputs!$D$32)/(Inputs!$D$33-Inputs!$D$32)))</f>
        <v>1</v>
      </c>
      <c r="K24" s="41" t="n">
        <f aca="false">MIN(1,MAX(0,(K17-Inputs!$D$32)/(Inputs!$D$33-Inputs!$D$32)))</f>
        <v>1</v>
      </c>
      <c r="L24" s="41" t="n">
        <f aca="false">MIN(1,MAX(0,(L17-Inputs!$D$32)/(Inputs!$D$33-Inputs!$D$32)))</f>
        <v>1</v>
      </c>
      <c r="M24" s="41" t="n">
        <f aca="false">MIN(1,MAX(0,(M17-Inputs!$D$32)/(Inputs!$D$33-Inputs!$D$32)))</f>
        <v>1</v>
      </c>
      <c r="N24" s="41" t="n">
        <f aca="false">MIN(1,MAX(0,(N17-Inputs!$D$32)/(Inputs!$D$33-Inputs!$D$32)))</f>
        <v>1</v>
      </c>
      <c r="O24" s="41" t="n">
        <f aca="false">MIN(1,MAX(0,(O17-Inputs!$D$32)/(Inputs!$D$33-Inputs!$D$32)))</f>
        <v>1</v>
      </c>
      <c r="P24" s="41" t="n">
        <f aca="false">MIN(1,MAX(0,(P17-Inputs!$D$32)/(Inputs!$D$33-Inputs!$D$32)))</f>
        <v>1</v>
      </c>
      <c r="Q24" s="41" t="n">
        <f aca="false">MIN(1,MAX(0,(Q17-Inputs!$D$32)/(Inputs!$D$33-Inputs!$D$32)))</f>
        <v>1</v>
      </c>
      <c r="R24" s="41" t="n">
        <f aca="false">MIN(1,MAX(0,(R17-Inputs!$D$32)/(Inputs!$D$33-Inputs!$D$32)))</f>
        <v>1</v>
      </c>
    </row>
    <row r="25" customFormat="false" ht="15" hidden="false" customHeight="false" outlineLevel="0" collapsed="false">
      <c r="A25" s="7" t="s">
        <v>590</v>
      </c>
      <c r="B25" s="17" t="s">
        <v>68</v>
      </c>
      <c r="D25" s="41" t="n">
        <f aca="false">MIN(1,MAX(0,(D17-Inputs!$D$34)/(Inputs!$D$35-Inputs!$D$34)))</f>
        <v>0</v>
      </c>
      <c r="E25" s="41" t="n">
        <f aca="false">MIN(1,MAX(0,(E17-Inputs!$D$34)/(Inputs!$D$35-Inputs!$D$34)))</f>
        <v>0</v>
      </c>
      <c r="F25" s="41" t="n">
        <f aca="false">MIN(1,MAX(0,(F17-Inputs!$D$34)/(Inputs!$D$35-Inputs!$D$34)))</f>
        <v>0</v>
      </c>
      <c r="G25" s="41" t="n">
        <f aca="false">MIN(1,MAX(0,(G17-Inputs!$D$34)/(Inputs!$D$35-Inputs!$D$34)))</f>
        <v>0.25</v>
      </c>
      <c r="H25" s="41" t="n">
        <f aca="false">MIN(1,MAX(0,(H17-Inputs!$D$34)/(Inputs!$D$35-Inputs!$D$34)))</f>
        <v>0.75</v>
      </c>
      <c r="I25" s="41" t="n">
        <f aca="false">MIN(1,MAX(0,(I17-Inputs!$D$34)/(Inputs!$D$35-Inputs!$D$34)))</f>
        <v>1</v>
      </c>
      <c r="J25" s="41" t="n">
        <f aca="false">MIN(1,MAX(0,(J17-Inputs!$D$34)/(Inputs!$D$35-Inputs!$D$34)))</f>
        <v>1</v>
      </c>
      <c r="K25" s="41" t="n">
        <f aca="false">MIN(1,MAX(0,(K17-Inputs!$D$34)/(Inputs!$D$35-Inputs!$D$34)))</f>
        <v>1</v>
      </c>
      <c r="L25" s="41" t="n">
        <f aca="false">MIN(1,MAX(0,(L17-Inputs!$D$34)/(Inputs!$D$35-Inputs!$D$34)))</f>
        <v>1</v>
      </c>
      <c r="M25" s="41" t="n">
        <f aca="false">MIN(1,MAX(0,(M17-Inputs!$D$34)/(Inputs!$D$35-Inputs!$D$34)))</f>
        <v>1</v>
      </c>
      <c r="N25" s="41" t="n">
        <f aca="false">MIN(1,MAX(0,(N17-Inputs!$D$34)/(Inputs!$D$35-Inputs!$D$34)))</f>
        <v>1</v>
      </c>
      <c r="O25" s="41" t="n">
        <f aca="false">MIN(1,MAX(0,(O17-Inputs!$D$34)/(Inputs!$D$35-Inputs!$D$34)))</f>
        <v>1</v>
      </c>
      <c r="P25" s="41" t="n">
        <f aca="false">MIN(1,MAX(0,(P17-Inputs!$D$34)/(Inputs!$D$35-Inputs!$D$34)))</f>
        <v>1</v>
      </c>
      <c r="Q25" s="41" t="n">
        <f aca="false">MIN(1,MAX(0,(Q17-Inputs!$D$34)/(Inputs!$D$35-Inputs!$D$34)))</f>
        <v>1</v>
      </c>
      <c r="R25" s="41" t="n">
        <f aca="false">MIN(1,MAX(0,(R17-Inputs!$D$34)/(Inputs!$D$35-Inputs!$D$34)))</f>
        <v>1</v>
      </c>
    </row>
    <row r="26" customFormat="false" ht="15" hidden="false" customHeight="false" outlineLevel="0" collapsed="false">
      <c r="A26" s="7" t="s">
        <v>591</v>
      </c>
      <c r="C26" s="56" t="n">
        <f aca="false">2*LN(19)/Inputs!$E$72</f>
        <v>0.84126827976184</v>
      </c>
    </row>
    <row r="27" customFormat="false" ht="15" hidden="false" customHeight="false" outlineLevel="0" collapsed="false">
      <c r="A27" s="7" t="s">
        <v>592</v>
      </c>
      <c r="B27" s="17" t="s">
        <v>68</v>
      </c>
      <c r="D27" s="48" t="n">
        <f aca="false">IF(D9&gt;=Inputs!$E$68,Inputs!$E$70/(1+EXP(-$C$26*(D9-(Inputs!$E$68+Inputs!$E$72/2)))),0)</f>
        <v>0</v>
      </c>
      <c r="E27" s="48" t="n">
        <f aca="false">IF(E9&gt;=Inputs!$E$68,Inputs!$E$70/(1+EXP(-$C$26*(E9-(Inputs!$E$68+Inputs!$E$72/2)))),0)</f>
        <v>0</v>
      </c>
      <c r="F27" s="48" t="n">
        <f aca="false">IF(F9&gt;=Inputs!$E$68,Inputs!$E$70/(1+EXP(-$C$26*(F9-(Inputs!$E$68+Inputs!$E$72/2)))),0)</f>
        <v>0.00445236782750609</v>
      </c>
      <c r="G27" s="48" t="n">
        <f aca="false">IF(G9&gt;=Inputs!$E$68,Inputs!$E$70/(1+EXP(-$C$26*(G9-(Inputs!$E$68+Inputs!$E$72/2)))),0)</f>
        <v>0.0094055927202673</v>
      </c>
      <c r="H27" s="48" t="n">
        <f aca="false">IF(H9&gt;=Inputs!$E$68,Inputs!$E$70/(1+EXP(-$C$26*(H9-(Inputs!$E$68+Inputs!$E$72/2)))),0)</f>
        <v>0.0180760642124919</v>
      </c>
      <c r="I27" s="48" t="n">
        <f aca="false">IF(I9&gt;=Inputs!$E$68,Inputs!$E$70/(1+EXP(-$C$26*(I9-(Inputs!$E$68+Inputs!$E$72/2)))),0)</f>
        <v>0.03</v>
      </c>
      <c r="J27" s="48" t="n">
        <f aca="false">IF(J9&gt;=Inputs!$E$68,Inputs!$E$70/(1+EXP(-$C$26*(J9-(Inputs!$E$68+Inputs!$E$72/2)))),0)</f>
        <v>0.0419239357875081</v>
      </c>
      <c r="K27" s="48" t="n">
        <f aca="false">IF(K9&gt;=Inputs!$E$68,Inputs!$E$70/(1+EXP(-$C$26*(K9-(Inputs!$E$68+Inputs!$E$72/2)))),0)</f>
        <v>0.0505944072797327</v>
      </c>
      <c r="L27" s="48" t="n">
        <f aca="false">IF(L9&gt;=Inputs!$E$68,Inputs!$E$70/(1+EXP(-$C$26*(L9-(Inputs!$E$68+Inputs!$E$72/2)))),0)</f>
        <v>0.0555476321724939</v>
      </c>
      <c r="M27" s="48" t="n">
        <f aca="false">IF(M9&gt;=Inputs!$E$68,Inputs!$E$70/(1+EXP(-$C$26*(M9-(Inputs!$E$68+Inputs!$E$72/2)))),0)</f>
        <v>0.0579956982986173</v>
      </c>
      <c r="N27" s="48" t="n">
        <f aca="false">IF(N9&gt;=Inputs!$E$68,Inputs!$E$70/(1+EXP(-$C$26*(N9-(Inputs!$E$68+Inputs!$E$72/2)))),0)</f>
        <v>0.0591190793236549</v>
      </c>
      <c r="O27" s="48" t="n">
        <f aca="false">IF(O9&gt;=Inputs!$E$68,Inputs!$E$70/(1+EXP(-$C$26*(O9-(Inputs!$E$68+Inputs!$E$72/2)))),0)</f>
        <v>0.0596169804467579</v>
      </c>
      <c r="P27" s="48" t="n">
        <f aca="false">IF(P9&gt;=Inputs!$E$68,Inputs!$E$70/(1+EXP(-$C$26*(P9-(Inputs!$E$68+Inputs!$E$72/2)))),0)</f>
        <v>0.0598342541436464</v>
      </c>
      <c r="Q27" s="48" t="n">
        <f aca="false">IF(Q9&gt;=Inputs!$E$68,Inputs!$E$70/(1+EXP(-$C$26*(Q9-(Inputs!$E$68+Inputs!$E$72/2)))),0)</f>
        <v>0.0599284239903188</v>
      </c>
      <c r="R27" s="48" t="n">
        <f aca="false">IF(R9&gt;=Inputs!$E$68,Inputs!$E$70/(1+EXP(-$C$26*(R9-(Inputs!$E$68+Inputs!$E$72/2)))),0)</f>
        <v>0.059969118092569</v>
      </c>
    </row>
    <row r="28" customFormat="false" ht="15" hidden="false" customHeight="false" outlineLevel="0" collapsed="false">
      <c r="A28" s="7" t="s">
        <v>593</v>
      </c>
      <c r="B28" s="17" t="s">
        <v>68</v>
      </c>
      <c r="D28" s="48" t="n">
        <f aca="false">IF(D9&gt;=Inputs!$E$69,Inputs!$E$71/(1+EXP(-$C$26*(D9-(Inputs!$E$69+Inputs!$E$72/2)))),0)</f>
        <v>0</v>
      </c>
      <c r="E28" s="48" t="n">
        <f aca="false">IF(E9&gt;=Inputs!$E$69,Inputs!$E$71/(1+EXP(-$C$26*(E9-(Inputs!$E$69+Inputs!$E$72/2)))),0)</f>
        <v>0</v>
      </c>
      <c r="F28" s="48" t="n">
        <f aca="false">IF(F9&gt;=Inputs!$E$69,Inputs!$E$71/(1+EXP(-$C$26*(F9-(Inputs!$E$69+Inputs!$E$72/2)))),0)</f>
        <v>0</v>
      </c>
      <c r="G28" s="48" t="n">
        <f aca="false">IF(G9&gt;=Inputs!$E$69,Inputs!$E$71/(1+EXP(-$C$26*(G9-(Inputs!$E$69+Inputs!$E$72/2)))),0)</f>
        <v>0</v>
      </c>
      <c r="H28" s="48" t="n">
        <f aca="false">IF(H9&gt;=Inputs!$E$69,Inputs!$E$71/(1+EXP(-$C$26*(H9-(Inputs!$E$69+Inputs!$E$72/2)))),0)</f>
        <v>0.00111309195687652</v>
      </c>
      <c r="I28" s="48" t="n">
        <f aca="false">IF(I9&gt;=Inputs!$E$69,Inputs!$E$71/(1+EXP(-$C$26*(I9-(Inputs!$E$69+Inputs!$E$72/2)))),0)</f>
        <v>0.00235139818006682</v>
      </c>
      <c r="J28" s="48" t="n">
        <f aca="false">IF(J9&gt;=Inputs!$E$69,Inputs!$E$71/(1+EXP(-$C$26*(J9-(Inputs!$E$69+Inputs!$E$72/2)))),0)</f>
        <v>0.00451901605312297</v>
      </c>
      <c r="K28" s="48" t="n">
        <f aca="false">IF(K9&gt;=Inputs!$E$69,Inputs!$E$71/(1+EXP(-$C$26*(K9-(Inputs!$E$69+Inputs!$E$72/2)))),0)</f>
        <v>0.0075</v>
      </c>
      <c r="L28" s="48" t="n">
        <f aca="false">IF(L9&gt;=Inputs!$E$69,Inputs!$E$71/(1+EXP(-$C$26*(L9-(Inputs!$E$69+Inputs!$E$72/2)))),0)</f>
        <v>0.010480983946877</v>
      </c>
      <c r="M28" s="48" t="n">
        <f aca="false">IF(M9&gt;=Inputs!$E$69,Inputs!$E$71/(1+EXP(-$C$26*(M9-(Inputs!$E$69+Inputs!$E$72/2)))),0)</f>
        <v>0.0126486018199332</v>
      </c>
      <c r="N28" s="48" t="n">
        <f aca="false">IF(N9&gt;=Inputs!$E$69,Inputs!$E$71/(1+EXP(-$C$26*(N9-(Inputs!$E$69+Inputs!$E$72/2)))),0)</f>
        <v>0.0138869080431235</v>
      </c>
      <c r="O28" s="48" t="n">
        <f aca="false">IF(O9&gt;=Inputs!$E$69,Inputs!$E$71/(1+EXP(-$C$26*(O9-(Inputs!$E$69+Inputs!$E$72/2)))),0)</f>
        <v>0.0144989245746543</v>
      </c>
      <c r="P28" s="48" t="n">
        <f aca="false">IF(P9&gt;=Inputs!$E$69,Inputs!$E$71/(1+EXP(-$C$26*(P9-(Inputs!$E$69+Inputs!$E$72/2)))),0)</f>
        <v>0.0147797698309137</v>
      </c>
      <c r="Q28" s="48" t="n">
        <f aca="false">IF(Q9&gt;=Inputs!$E$69,Inputs!$E$71/(1+EXP(-$C$26*(Q9-(Inputs!$E$69+Inputs!$E$72/2)))),0)</f>
        <v>0.0149042451116895</v>
      </c>
      <c r="R28" s="48" t="n">
        <f aca="false">IF(R9&gt;=Inputs!$E$69,Inputs!$E$71/(1+EXP(-$C$26*(R9-(Inputs!$E$69+Inputs!$E$72/2)))),0)</f>
        <v>0.0149585635359116</v>
      </c>
    </row>
    <row r="29" customFormat="false" ht="15" hidden="false" customHeight="false" outlineLevel="0" collapsed="false">
      <c r="A29" s="7" t="s">
        <v>594</v>
      </c>
      <c r="B29" s="17" t="s">
        <v>141</v>
      </c>
      <c r="D29" s="42" t="n">
        <f aca="false">Inputs!$D$30*(1+Inputs!$D$51)^MAX(0,D$6-2026)</f>
        <v>3000</v>
      </c>
      <c r="E29" s="42" t="n">
        <f aca="false">Inputs!$D$30*(1+Inputs!$D$51)^MAX(0,E$6-2026)</f>
        <v>3030</v>
      </c>
      <c r="F29" s="42" t="n">
        <f aca="false">Inputs!$D$30*(1+Inputs!$D$51)^MAX(0,F$6-2026)</f>
        <v>3060.3</v>
      </c>
      <c r="G29" s="42" t="n">
        <f aca="false">Inputs!$D$30*(1+Inputs!$D$51)^MAX(0,G$6-2026)</f>
        <v>3090.903</v>
      </c>
      <c r="H29" s="42" t="n">
        <f aca="false">Inputs!$D$30*(1+Inputs!$D$51)^MAX(0,H$6-2026)</f>
        <v>3121.81203</v>
      </c>
      <c r="I29" s="42" t="n">
        <f aca="false">Inputs!$D$30*(1+Inputs!$D$51)^MAX(0,I$6-2026)</f>
        <v>3153.0301503</v>
      </c>
      <c r="J29" s="42" t="n">
        <f aca="false">Inputs!$D$30*(1+Inputs!$D$51)^MAX(0,J$6-2026)</f>
        <v>3184.560451803</v>
      </c>
      <c r="K29" s="42" t="n">
        <f aca="false">Inputs!$D$30*(1+Inputs!$D$51)^MAX(0,K$6-2026)</f>
        <v>3216.40605632103</v>
      </c>
      <c r="L29" s="42" t="n">
        <f aca="false">Inputs!$D$30*(1+Inputs!$D$51)^MAX(0,L$6-2026)</f>
        <v>3248.57011688424</v>
      </c>
      <c r="M29" s="42" t="n">
        <f aca="false">Inputs!$D$30*(1+Inputs!$D$51)^MAX(0,M$6-2026)</f>
        <v>3281.05581805308</v>
      </c>
      <c r="N29" s="42" t="n">
        <f aca="false">Inputs!$D$30*(1+Inputs!$D$51)^MAX(0,N$6-2026)</f>
        <v>3313.86637623361</v>
      </c>
      <c r="O29" s="42" t="n">
        <f aca="false">Inputs!$D$30*(1+Inputs!$D$51)^MAX(0,O$6-2026)</f>
        <v>3347.00503999595</v>
      </c>
      <c r="P29" s="42" t="n">
        <f aca="false">Inputs!$D$30*(1+Inputs!$D$51)^MAX(0,P$6-2026)</f>
        <v>3380.47509039591</v>
      </c>
      <c r="Q29" s="42" t="n">
        <f aca="false">Inputs!$D$30*(1+Inputs!$D$51)^MAX(0,Q$6-2026)</f>
        <v>3414.27984129987</v>
      </c>
      <c r="R29" s="42" t="n">
        <f aca="false">Inputs!$D$30*(1+Inputs!$D$51)^MAX(0,R$6-2026)</f>
        <v>3448.42263971287</v>
      </c>
    </row>
    <row r="30" customFormat="false" ht="15" hidden="false" customHeight="false" outlineLevel="0" collapsed="false">
      <c r="A30" s="7" t="s">
        <v>595</v>
      </c>
      <c r="B30" s="17" t="s">
        <v>141</v>
      </c>
      <c r="D30" s="42" t="n">
        <f aca="false">D29*Inputs!$D$31*D24*D27</f>
        <v>0</v>
      </c>
      <c r="E30" s="42" t="n">
        <f aca="false">E29*Inputs!$D$31*E24*E27</f>
        <v>0</v>
      </c>
      <c r="F30" s="42" t="n">
        <f aca="false">F29*Inputs!$D$31*F24*F27</f>
        <v>2.76769619394874</v>
      </c>
      <c r="G30" s="42" t="n">
        <f aca="false">G29*Inputs!$D$31*G24*G27</f>
        <v>7.26794368896309</v>
      </c>
      <c r="H30" s="42" t="n">
        <f aca="false">H29*Inputs!$D$31*H24*H27</f>
        <v>14.1075186784024</v>
      </c>
      <c r="I30" s="42" t="n">
        <f aca="false">I29*Inputs!$D$31*I24*I27</f>
        <v>23.64772612725</v>
      </c>
      <c r="J30" s="42" t="n">
        <f aca="false">J29*Inputs!$D$31*J24*J27</f>
        <v>33.3773269732067</v>
      </c>
      <c r="K30" s="42" t="n">
        <f aca="false">K29*Inputs!$D$31*K24*K27</f>
        <v>40.6830394976263</v>
      </c>
      <c r="L30" s="42" t="n">
        <f aca="false">L29*Inputs!$D$31*L24*L27</f>
        <v>45.1125944848103</v>
      </c>
      <c r="M30" s="42" t="n">
        <f aca="false">M29*Inputs!$D$31*M24*M27</f>
        <v>47.5717808311824</v>
      </c>
      <c r="N30" s="42" t="n">
        <f aca="false">N29*Inputs!$D$31*N24*N27</f>
        <v>48.9781822911369</v>
      </c>
      <c r="O30" s="42" t="n">
        <f aca="false">O29*Inputs!$D$31*O24*O27</f>
        <v>49.8845835061597</v>
      </c>
      <c r="P30" s="42" t="n">
        <f aca="false">P29*Inputs!$D$31*P24*P27</f>
        <v>50.5670514212537</v>
      </c>
      <c r="Q30" s="42" t="n">
        <f aca="false">Q29*Inputs!$D$31*Q24*Q27</f>
        <v>51.1531024877542</v>
      </c>
      <c r="R30" s="42" t="n">
        <f aca="false">R29*Inputs!$D$31*R24*R27</f>
        <v>51.6997161285074</v>
      </c>
    </row>
    <row r="31" customFormat="false" ht="15" hidden="false" customHeight="false" outlineLevel="0" collapsed="false">
      <c r="A31" s="7" t="s">
        <v>596</v>
      </c>
      <c r="B31" s="17" t="s">
        <v>141</v>
      </c>
      <c r="D31" s="42" t="n">
        <f aca="false">D29*(1-Inputs!$D$31)*D25*D28</f>
        <v>0</v>
      </c>
      <c r="E31" s="42" t="n">
        <f aca="false">E29*(1-Inputs!$D$31)*E25*E28</f>
        <v>0</v>
      </c>
      <c r="F31" s="42" t="n">
        <f aca="false">F29*(1-Inputs!$D$31)*F25*F28</f>
        <v>0</v>
      </c>
      <c r="G31" s="42" t="n">
        <f aca="false">G29*(1-Inputs!$D$31)*G25*G28</f>
        <v>0</v>
      </c>
      <c r="H31" s="42" t="n">
        <f aca="false">H29*(1-Inputs!$D$31)*H25*H28</f>
        <v>1.95461092207877</v>
      </c>
      <c r="I31" s="42" t="n">
        <f aca="false">I29*(1-Inputs!$D$31)*I25*I28</f>
        <v>5.56052201783343</v>
      </c>
      <c r="J31" s="42" t="n">
        <f aca="false">J29*(1-Inputs!$D$31)*J25*J28</f>
        <v>10.7933098528787</v>
      </c>
      <c r="K31" s="42" t="n">
        <f aca="false">K29*(1-Inputs!$D$31)*K25*K28</f>
        <v>18.0922840668058</v>
      </c>
      <c r="L31" s="42" t="n">
        <f aca="false">L29*(1-Inputs!$D$31)*L25*L28</f>
        <v>25.5361584340261</v>
      </c>
      <c r="M31" s="42" t="n">
        <f aca="false">M29*(1-Inputs!$D$31)*M25*M28</f>
        <v>31.1255764436464</v>
      </c>
      <c r="N31" s="42" t="n">
        <f aca="false">N29*(1-Inputs!$D$31)*N25*N28</f>
        <v>34.5145182254663</v>
      </c>
      <c r="O31" s="42" t="n">
        <f aca="false">O29*(1-Inputs!$D$31)*O25*O28</f>
        <v>36.3959802194169</v>
      </c>
      <c r="P31" s="42" t="n">
        <f aca="false">P29*(1-Inputs!$D$31)*P25*P28</f>
        <v>37.4719828163916</v>
      </c>
      <c r="Q31" s="42" t="n">
        <f aca="false">Q29*(1-Inputs!$D$31)*Q25*Q28</f>
        <v>38.1654477259751</v>
      </c>
      <c r="R31" s="42" t="n">
        <f aca="false">R29*(1-Inputs!$D$31)*R25*R28</f>
        <v>38.6875868661157</v>
      </c>
    </row>
    <row r="32" customFormat="false" ht="15" hidden="false" customHeight="false" outlineLevel="0" collapsed="false">
      <c r="A32" s="7" t="s">
        <v>597</v>
      </c>
      <c r="B32" s="17" t="s">
        <v>75</v>
      </c>
      <c r="D32" s="45" t="n">
        <f aca="false">(1+Inputs!$E$75)^MIN(MAX(0,D$6-2027),Inputs!$D$49-2027)*(1+Inputs!$D$50)^MAX(0,D$6-Inputs!$D$49)</f>
        <v>1</v>
      </c>
      <c r="E32" s="45" t="n">
        <f aca="false">(1+Inputs!$E$75)^MIN(MAX(0,E$6-2027),Inputs!$D$49-2027)*(1+Inputs!$D$50)^MAX(0,E$6-Inputs!$D$49)</f>
        <v>1</v>
      </c>
      <c r="F32" s="45" t="n">
        <f aca="false">(1+Inputs!$E$75)^MIN(MAX(0,F$6-2027),Inputs!$D$49-2027)*(1+Inputs!$D$50)^MAX(0,F$6-Inputs!$D$49)</f>
        <v>0.98</v>
      </c>
      <c r="G32" s="45" t="n">
        <f aca="false">(1+Inputs!$E$75)^MIN(MAX(0,G$6-2027),Inputs!$D$49-2027)*(1+Inputs!$D$50)^MAX(0,G$6-Inputs!$D$49)</f>
        <v>0.9604</v>
      </c>
      <c r="H32" s="45" t="n">
        <f aca="false">(1+Inputs!$E$75)^MIN(MAX(0,H$6-2027),Inputs!$D$49-2027)*(1+Inputs!$D$50)^MAX(0,H$6-Inputs!$D$49)</f>
        <v>0.941192</v>
      </c>
      <c r="I32" s="45" t="n">
        <f aca="false">(1+Inputs!$E$75)^MIN(MAX(0,I$6-2027),Inputs!$D$49-2027)*(1+Inputs!$D$50)^MAX(0,I$6-Inputs!$D$49)</f>
        <v>0.92236816</v>
      </c>
      <c r="J32" s="45" t="n">
        <f aca="false">(1+Inputs!$E$75)^MIN(MAX(0,J$6-2027),Inputs!$D$49-2027)*(1+Inputs!$D$50)^MAX(0,J$6-Inputs!$D$49)</f>
        <v>0.9039207968</v>
      </c>
      <c r="K32" s="45" t="n">
        <f aca="false">(1+Inputs!$E$75)^MIN(MAX(0,K$6-2027),Inputs!$D$49-2027)*(1+Inputs!$D$50)^MAX(0,K$6-Inputs!$D$49)</f>
        <v>0.917479608752</v>
      </c>
      <c r="L32" s="45" t="n">
        <f aca="false">(1+Inputs!$E$75)^MIN(MAX(0,L$6-2027),Inputs!$D$49-2027)*(1+Inputs!$D$50)^MAX(0,L$6-Inputs!$D$49)</f>
        <v>0.93124180288328</v>
      </c>
      <c r="M32" s="45" t="n">
        <f aca="false">(1+Inputs!$E$75)^MIN(MAX(0,M$6-2027),Inputs!$D$49-2027)*(1+Inputs!$D$50)^MAX(0,M$6-Inputs!$D$49)</f>
        <v>0.945210429926529</v>
      </c>
      <c r="N32" s="45" t="n">
        <f aca="false">(1+Inputs!$E$75)^MIN(MAX(0,N$6-2027),Inputs!$D$49-2027)*(1+Inputs!$D$50)^MAX(0,N$6-Inputs!$D$49)</f>
        <v>0.959388586375427</v>
      </c>
      <c r="O32" s="45" t="n">
        <f aca="false">(1+Inputs!$E$75)^MIN(MAX(0,O$6-2027),Inputs!$D$49-2027)*(1+Inputs!$D$50)^MAX(0,O$6-Inputs!$D$49)</f>
        <v>0.973779415171058</v>
      </c>
      <c r="P32" s="45" t="n">
        <f aca="false">(1+Inputs!$E$75)^MIN(MAX(0,P$6-2027),Inputs!$D$49-2027)*(1+Inputs!$D$50)^MAX(0,P$6-Inputs!$D$49)</f>
        <v>0.988386106398624</v>
      </c>
      <c r="Q32" s="45" t="n">
        <f aca="false">(1+Inputs!$E$75)^MIN(MAX(0,Q$6-2027),Inputs!$D$49-2027)*(1+Inputs!$D$50)^MAX(0,Q$6-Inputs!$D$49)</f>
        <v>1.0032118979946</v>
      </c>
      <c r="R32" s="45" t="n">
        <f aca="false">(1+Inputs!$E$75)^MIN(MAX(0,R$6-2027),Inputs!$D$49-2027)*(1+Inputs!$D$50)^MAX(0,R$6-Inputs!$D$49)</f>
        <v>1.01826007646452</v>
      </c>
    </row>
    <row r="33" customFormat="false" ht="15" hidden="false" customHeight="false" outlineLevel="0" collapsed="false">
      <c r="A33" s="7" t="s">
        <v>598</v>
      </c>
      <c r="B33" s="17" t="s">
        <v>116</v>
      </c>
      <c r="D33" s="42" t="n">
        <f aca="false">D30*Inputs!$E$73*D32*12*D7</f>
        <v>0</v>
      </c>
      <c r="E33" s="42" t="n">
        <f aca="false">E30*Inputs!$E$73*E32*12*E7</f>
        <v>0</v>
      </c>
      <c r="F33" s="42" t="n">
        <f aca="false">F30*Inputs!$E$73*F32*12*F7</f>
        <v>138.329455773558</v>
      </c>
      <c r="G33" s="42" t="n">
        <f aca="false">G30*Inputs!$E$73*G32*12*G7</f>
        <v>355.986789062888</v>
      </c>
      <c r="H33" s="42" t="n">
        <f aca="false">H30*Inputs!$E$73*H32*12*H7</f>
        <v>677.172069718109</v>
      </c>
      <c r="I33" s="42" t="n">
        <f aca="false">I30*Inputs!$E$73*I32*12*I7</f>
        <v>1112.40739144495</v>
      </c>
      <c r="J33" s="42" t="n">
        <f aca="false">J30*Inputs!$E$73*J32*12*J7</f>
        <v>1538.69345962643</v>
      </c>
      <c r="K33" s="42" t="n">
        <f aca="false">K30*Inputs!$E$73*K32*12*K7</f>
        <v>1903.61881721734</v>
      </c>
      <c r="L33" s="42" t="n">
        <f aca="false">L30*Inputs!$E$73*L32*12*L7</f>
        <v>2142.54742485963</v>
      </c>
      <c r="M33" s="42" t="n">
        <f aca="false">M30*Inputs!$E$73*M32*12*M7</f>
        <v>2293.23251400244</v>
      </c>
      <c r="N33" s="42" t="n">
        <f aca="false">N30*Inputs!$E$73*N32*12*N7</f>
        <v>2396.44456264812</v>
      </c>
      <c r="O33" s="42" t="n">
        <f aca="false">O30*Inputs!$E$73*O32*12*O7</f>
        <v>2477.40560818668</v>
      </c>
      <c r="P33" s="42" t="n">
        <f aca="false">P30*Inputs!$E$73*P32*12*P7</f>
        <v>2548.96832438191</v>
      </c>
      <c r="Q33" s="42" t="n">
        <f aca="false">Q30*Inputs!$E$73*Q32*12*Q7</f>
        <v>2617.18745278767</v>
      </c>
      <c r="R33" s="42" t="n">
        <f aca="false">R30*Inputs!$E$73*R32*12*R7</f>
        <v>2684.83160180861</v>
      </c>
    </row>
    <row r="34" customFormat="false" ht="15" hidden="false" customHeight="false" outlineLevel="0" collapsed="false">
      <c r="A34" s="7" t="s">
        <v>599</v>
      </c>
      <c r="B34" s="17" t="s">
        <v>116</v>
      </c>
      <c r="D34" s="42" t="n">
        <f aca="false">D31*Inputs!$E$74*D32*12*D7</f>
        <v>0</v>
      </c>
      <c r="E34" s="42" t="n">
        <f aca="false">E31*Inputs!$E$74*E32*12*E7</f>
        <v>0</v>
      </c>
      <c r="F34" s="42" t="n">
        <f aca="false">F31*Inputs!$E$74*F32*12*F7</f>
        <v>0</v>
      </c>
      <c r="G34" s="42" t="n">
        <f aca="false">G31*Inputs!$E$74*G32*12*G7</f>
        <v>0</v>
      </c>
      <c r="H34" s="42" t="n">
        <f aca="false">H31*Inputs!$E$74*H32*12*H7</f>
        <v>13.2455819734067</v>
      </c>
      <c r="I34" s="42" t="n">
        <f aca="false">I31*Inputs!$E$74*I32*12*I7</f>
        <v>36.9277089280453</v>
      </c>
      <c r="J34" s="42" t="n">
        <f aca="false">J31*Inputs!$E$74*J32*12*J7</f>
        <v>70.2453401447287</v>
      </c>
      <c r="K34" s="42" t="n">
        <f aca="false">K31*Inputs!$E$74*K32*12*K7</f>
        <v>119.51497229071</v>
      </c>
      <c r="L34" s="42" t="n">
        <f aca="false">L31*Inputs!$E$74*L32*12*L7</f>
        <v>171.218435175472</v>
      </c>
      <c r="M34" s="42" t="n">
        <f aca="false">M31*Inputs!$E$74*M32*12*M7</f>
        <v>211.825580342473</v>
      </c>
      <c r="N34" s="42" t="n">
        <f aca="false">N31*Inputs!$E$74*N32*12*N7</f>
        <v>238.412410918265</v>
      </c>
      <c r="O34" s="42" t="n">
        <f aca="false">O31*Inputs!$E$74*O32*12*O7</f>
        <v>255.179925595016</v>
      </c>
      <c r="P34" s="42" t="n">
        <f aca="false">P31*Inputs!$E$74*P32*12*P7</f>
        <v>266.664867803492</v>
      </c>
      <c r="Q34" s="42" t="n">
        <f aca="false">Q31*Inputs!$E$74*Q32*12*Q7</f>
        <v>275.673825007123</v>
      </c>
      <c r="R34" s="42" t="n">
        <f aca="false">R31*Inputs!$E$74*R32*12*R7</f>
        <v>283.636981155735</v>
      </c>
    </row>
    <row r="35" customFormat="false" ht="15" hidden="false" customHeight="false" outlineLevel="0" collapsed="false">
      <c r="A35" s="7" t="s">
        <v>600</v>
      </c>
      <c r="B35" s="17" t="s">
        <v>116</v>
      </c>
      <c r="D35" s="42" t="n">
        <f aca="false">IF(D$6=2026,Inputs!$E$78,IF(D$6=2027,Inputs!$E$79,IF(D$6=2028,Inputs!$E$80,IF(D$6=2029,Inputs!$E$81,Inputs!$E$82*(1+Inputs!$E$83)^(D$6-2030)))))</f>
        <v>40</v>
      </c>
      <c r="E35" s="42" t="n">
        <f aca="false">IF(E$6=2026,Inputs!$E$78,IF(E$6=2027,Inputs!$E$79,IF(E$6=2028,Inputs!$E$80,IF(E$6=2029,Inputs!$E$81,Inputs!$E$82*(1+Inputs!$E$83)^(E$6-2030)))))</f>
        <v>80</v>
      </c>
      <c r="F35" s="42" t="n">
        <f aca="false">IF(F$6=2026,Inputs!$E$78,IF(F$6=2027,Inputs!$E$79,IF(F$6=2028,Inputs!$E$80,IF(F$6=2029,Inputs!$E$81,Inputs!$E$82*(1+Inputs!$E$83)^(F$6-2030)))))</f>
        <v>120</v>
      </c>
      <c r="G35" s="42" t="n">
        <f aca="false">IF(G$6=2026,Inputs!$E$78,IF(G$6=2027,Inputs!$E$79,IF(G$6=2028,Inputs!$E$80,IF(G$6=2029,Inputs!$E$81,Inputs!$E$82*(1+Inputs!$E$83)^(G$6-2030)))))</f>
        <v>150</v>
      </c>
      <c r="H35" s="42" t="n">
        <f aca="false">IF(H$6=2026,Inputs!$E$78,IF(H$6=2027,Inputs!$E$79,IF(H$6=2028,Inputs!$E$80,IF(H$6=2029,Inputs!$E$81,Inputs!$E$82*(1+Inputs!$E$83)^(H$6-2030)))))</f>
        <v>180</v>
      </c>
      <c r="I35" s="42" t="n">
        <f aca="false">IF(I$6=2026,Inputs!$E$78,IF(I$6=2027,Inputs!$E$79,IF(I$6=2028,Inputs!$E$80,IF(I$6=2029,Inputs!$E$81,Inputs!$E$82*(1+Inputs!$E$83)^(I$6-2030)))))</f>
        <v>187.2</v>
      </c>
      <c r="J35" s="42" t="n">
        <f aca="false">IF(J$6=2026,Inputs!$E$78,IF(J$6=2027,Inputs!$E$79,IF(J$6=2028,Inputs!$E$80,IF(J$6=2029,Inputs!$E$81,Inputs!$E$82*(1+Inputs!$E$83)^(J$6-2030)))))</f>
        <v>194.688</v>
      </c>
      <c r="K35" s="42" t="n">
        <f aca="false">IF(K$6=2026,Inputs!$E$78,IF(K$6=2027,Inputs!$E$79,IF(K$6=2028,Inputs!$E$80,IF(K$6=2029,Inputs!$E$81,Inputs!$E$82*(1+Inputs!$E$83)^(K$6-2030)))))</f>
        <v>202.47552</v>
      </c>
      <c r="L35" s="42" t="n">
        <f aca="false">IF(L$6=2026,Inputs!$E$78,IF(L$6=2027,Inputs!$E$79,IF(L$6=2028,Inputs!$E$80,IF(L$6=2029,Inputs!$E$81,Inputs!$E$82*(1+Inputs!$E$83)^(L$6-2030)))))</f>
        <v>210.5745408</v>
      </c>
      <c r="M35" s="42" t="n">
        <f aca="false">IF(M$6=2026,Inputs!$E$78,IF(M$6=2027,Inputs!$E$79,IF(M$6=2028,Inputs!$E$80,IF(M$6=2029,Inputs!$E$81,Inputs!$E$82*(1+Inputs!$E$83)^(M$6-2030)))))</f>
        <v>218.997522432</v>
      </c>
      <c r="N35" s="42" t="n">
        <f aca="false">IF(N$6=2026,Inputs!$E$78,IF(N$6=2027,Inputs!$E$79,IF(N$6=2028,Inputs!$E$80,IF(N$6=2029,Inputs!$E$81,Inputs!$E$82*(1+Inputs!$E$83)^(N$6-2030)))))</f>
        <v>227.75742332928</v>
      </c>
      <c r="O35" s="42" t="n">
        <f aca="false">IF(O$6=2026,Inputs!$E$78,IF(O$6=2027,Inputs!$E$79,IF(O$6=2028,Inputs!$E$80,IF(O$6=2029,Inputs!$E$81,Inputs!$E$82*(1+Inputs!$E$83)^(O$6-2030)))))</f>
        <v>236.867720262451</v>
      </c>
      <c r="P35" s="42" t="n">
        <f aca="false">IF(P$6=2026,Inputs!$E$78,IF(P$6=2027,Inputs!$E$79,IF(P$6=2028,Inputs!$E$80,IF(P$6=2029,Inputs!$E$81,Inputs!$E$82*(1+Inputs!$E$83)^(P$6-2030)))))</f>
        <v>246.342429072949</v>
      </c>
      <c r="Q35" s="42" t="n">
        <f aca="false">IF(Q$6=2026,Inputs!$E$78,IF(Q$6=2027,Inputs!$E$79,IF(Q$6=2028,Inputs!$E$80,IF(Q$6=2029,Inputs!$E$81,Inputs!$E$82*(1+Inputs!$E$83)^(Q$6-2030)))))</f>
        <v>256.196126235867</v>
      </c>
      <c r="R35" s="42" t="n">
        <f aca="false">IF(R$6=2026,Inputs!$E$78,IF(R$6=2027,Inputs!$E$79,IF(R$6=2028,Inputs!$E$80,IF(R$6=2029,Inputs!$E$81,Inputs!$E$82*(1+Inputs!$E$83)^(R$6-2030)))))</f>
        <v>266.443971285302</v>
      </c>
    </row>
    <row r="36" customFormat="false" ht="15" hidden="false" customHeight="false" outlineLevel="0" collapsed="false">
      <c r="A36" s="7" t="s">
        <v>601</v>
      </c>
      <c r="B36" s="17" t="s">
        <v>116</v>
      </c>
      <c r="D36" s="16" t="n">
        <f aca="false">IF(D$6=2026,Inputs!$E$84,IF(D$6=2027,Inputs!$E$85,IF(D$6=2028,Inputs!$E$86,Inputs!$E$87)))</f>
        <v>80</v>
      </c>
      <c r="E36" s="16" t="n">
        <f aca="false">IF(E$6=2026,Inputs!$E$84,IF(E$6=2027,Inputs!$E$85,IF(E$6=2028,Inputs!$E$86,Inputs!$E$87)))</f>
        <v>90</v>
      </c>
      <c r="F36" s="16" t="n">
        <f aca="false">IF(F$6=2026,Inputs!$E$84,IF(F$6=2027,Inputs!$E$85,IF(F$6=2028,Inputs!$E$86,Inputs!$E$87)))</f>
        <v>50</v>
      </c>
      <c r="G36" s="16" t="n">
        <f aca="false">IF(G$6=2026,Inputs!$E$84,IF(G$6=2027,Inputs!$E$85,IF(G$6=2028,Inputs!$E$86,Inputs!$E$87)))</f>
        <v>30</v>
      </c>
      <c r="H36" s="16" t="n">
        <f aca="false">IF(H$6=2026,Inputs!$E$84,IF(H$6=2027,Inputs!$E$85,IF(H$6=2028,Inputs!$E$86,Inputs!$E$87)))</f>
        <v>30</v>
      </c>
      <c r="I36" s="16" t="n">
        <f aca="false">IF(I$6=2026,Inputs!$E$84,IF(I$6=2027,Inputs!$E$85,IF(I$6=2028,Inputs!$E$86,Inputs!$E$87)))</f>
        <v>30</v>
      </c>
      <c r="J36" s="16" t="n">
        <f aca="false">IF(J$6=2026,Inputs!$E$84,IF(J$6=2027,Inputs!$E$85,IF(J$6=2028,Inputs!$E$86,Inputs!$E$87)))</f>
        <v>30</v>
      </c>
      <c r="K36" s="16" t="n">
        <f aca="false">IF(K$6=2026,Inputs!$E$84,IF(K$6=2027,Inputs!$E$85,IF(K$6=2028,Inputs!$E$86,Inputs!$E$87)))</f>
        <v>30</v>
      </c>
      <c r="L36" s="16" t="n">
        <f aca="false">IF(L$6=2026,Inputs!$E$84,IF(L$6=2027,Inputs!$E$85,IF(L$6=2028,Inputs!$E$86,Inputs!$E$87)))</f>
        <v>30</v>
      </c>
      <c r="M36" s="16" t="n">
        <f aca="false">IF(M$6=2026,Inputs!$E$84,IF(M$6=2027,Inputs!$E$85,IF(M$6=2028,Inputs!$E$86,Inputs!$E$87)))</f>
        <v>30</v>
      </c>
      <c r="N36" s="16" t="n">
        <f aca="false">IF(N$6=2026,Inputs!$E$84,IF(N$6=2027,Inputs!$E$85,IF(N$6=2028,Inputs!$E$86,Inputs!$E$87)))</f>
        <v>30</v>
      </c>
      <c r="O36" s="16" t="n">
        <f aca="false">IF(O$6=2026,Inputs!$E$84,IF(O$6=2027,Inputs!$E$85,IF(O$6=2028,Inputs!$E$86,Inputs!$E$87)))</f>
        <v>30</v>
      </c>
      <c r="P36" s="16" t="n">
        <f aca="false">IF(P$6=2026,Inputs!$E$84,IF(P$6=2027,Inputs!$E$85,IF(P$6=2028,Inputs!$E$86,Inputs!$E$87)))</f>
        <v>30</v>
      </c>
      <c r="Q36" s="16" t="n">
        <f aca="false">IF(Q$6=2026,Inputs!$E$84,IF(Q$6=2027,Inputs!$E$85,IF(Q$6=2028,Inputs!$E$86,Inputs!$E$87)))</f>
        <v>30</v>
      </c>
      <c r="R36" s="16" t="n">
        <f aca="false">IF(R$6=2026,Inputs!$E$84,IF(R$6=2027,Inputs!$E$85,IF(R$6=2028,Inputs!$E$86,Inputs!$E$87)))</f>
        <v>30</v>
      </c>
    </row>
    <row r="37" customFormat="false" ht="15" hidden="false" customHeight="false" outlineLevel="0" collapsed="false">
      <c r="A37" s="3" t="s">
        <v>602</v>
      </c>
      <c r="B37" s="17" t="s">
        <v>116</v>
      </c>
      <c r="D37" s="55" t="n">
        <f aca="false">SUM(D33:D36)</f>
        <v>120</v>
      </c>
      <c r="E37" s="55" t="n">
        <f aca="false">SUM(E33:E36)</f>
        <v>170</v>
      </c>
      <c r="F37" s="55" t="n">
        <f aca="false">SUM(F33:F36)</f>
        <v>308.329455773558</v>
      </c>
      <c r="G37" s="55" t="n">
        <f aca="false">SUM(G33:G36)</f>
        <v>535.986789062888</v>
      </c>
      <c r="H37" s="55" t="n">
        <f aca="false">SUM(H33:H36)</f>
        <v>900.417651691516</v>
      </c>
      <c r="I37" s="55" t="n">
        <f aca="false">SUM(I33:I36)</f>
        <v>1366.535100373</v>
      </c>
      <c r="J37" s="55" t="n">
        <f aca="false">SUM(J33:J36)</f>
        <v>1833.62679977116</v>
      </c>
      <c r="K37" s="55" t="n">
        <f aca="false">SUM(K33:K36)</f>
        <v>2255.60930950805</v>
      </c>
      <c r="L37" s="55" t="n">
        <f aca="false">SUM(L33:L36)</f>
        <v>2554.3404008351</v>
      </c>
      <c r="M37" s="55" t="n">
        <f aca="false">SUM(M33:M36)</f>
        <v>2754.05561677691</v>
      </c>
      <c r="N37" s="55" t="n">
        <f aca="false">SUM(N33:N36)</f>
        <v>2892.61439689567</v>
      </c>
      <c r="O37" s="55" t="n">
        <f aca="false">SUM(O33:O36)</f>
        <v>2999.45325404415</v>
      </c>
      <c r="P37" s="55" t="n">
        <f aca="false">SUM(P33:P36)</f>
        <v>3091.97562125835</v>
      </c>
      <c r="Q37" s="55" t="n">
        <f aca="false">SUM(Q33:Q36)</f>
        <v>3179.05740403066</v>
      </c>
      <c r="R37" s="55" t="n">
        <f aca="false">SUM(R33:R36)</f>
        <v>3264.91255424965</v>
      </c>
      <c r="S37" s="54" t="n">
        <f aca="false">R37*(1+Inputs!$D$20)</f>
        <v>3346.53536810589</v>
      </c>
    </row>
    <row r="38" customFormat="false" ht="15" hidden="false" customHeight="false" outlineLevel="0" collapsed="false">
      <c r="A38" s="7" t="s">
        <v>603</v>
      </c>
      <c r="B38" s="17" t="s">
        <v>68</v>
      </c>
      <c r="D38" s="41" t="n">
        <f aca="false">IF(Inputs!$D$36=0,0,(D37/D7)/(Inputs!$D$36/0.5)-1)</f>
        <v>1.59431412820236</v>
      </c>
      <c r="E38" s="41" t="n">
        <f aca="false">IF(D37=0,0,(E37/E7)/(D37/D7)-1)</f>
        <v>-0.291666666666667</v>
      </c>
      <c r="F38" s="41" t="n">
        <f aca="false">IF(E37=0,0,(F37/F7)/(E37/E7)-1)</f>
        <v>0.813702681020929</v>
      </c>
      <c r="G38" s="41" t="n">
        <f aca="false">IF(F37=0,0,(G37/G7)/(F37/F7)-1)</f>
        <v>0.738357393451648</v>
      </c>
      <c r="H38" s="41" t="n">
        <f aca="false">IF(G37=0,0,(H37/H7)/(G37/G7)-1)</f>
        <v>0.679925084097306</v>
      </c>
      <c r="I38" s="41" t="n">
        <f aca="false">IF(H37=0,0,(I37/I7)/(H37/H7)-1)</f>
        <v>0.517668048605929</v>
      </c>
      <c r="J38" s="41" t="n">
        <f aca="false">IF(I37=0,0,(J37/J7)/(I37/I7)-1)</f>
        <v>0.341807319307547</v>
      </c>
      <c r="K38" s="41" t="n">
        <f aca="false">IF(J37=0,0,(K37/K7)/(J37/J7)-1)</f>
        <v>0.230135439659561</v>
      </c>
      <c r="L38" s="41" t="n">
        <f aca="false">IF(K37=0,0,(L37/L7)/(K37/K7)-1)</f>
        <v>0.132439199496036</v>
      </c>
      <c r="M38" s="41" t="n">
        <f aca="false">IF(L37=0,0,(M37/M7)/(L37/L7)-1)</f>
        <v>0.078186609692473</v>
      </c>
      <c r="N38" s="41" t="n">
        <f aca="false">IF(M37=0,0,(N37/N7)/(M37/M7)-1)</f>
        <v>0.0503108140862136</v>
      </c>
      <c r="O38" s="41" t="n">
        <f aca="false">IF(N37=0,0,(O37/O7)/(N37/N7)-1)</f>
        <v>0.0369350499199397</v>
      </c>
      <c r="P38" s="41" t="n">
        <f aca="false">IF(O37=0,0,(P37/P7)/(O37/O7)-1)</f>
        <v>0.0308464107881856</v>
      </c>
      <c r="Q38" s="41" t="n">
        <f aca="false">IF(P37=0,0,(Q37/Q7)/(P37/P7)-1)</f>
        <v>0.0281637999257152</v>
      </c>
      <c r="R38" s="41" t="n">
        <f aca="false">IF(Q37=0,0,(R37/R7)/(Q37/Q7)-1)</f>
        <v>0.0270064800057184</v>
      </c>
    </row>
    <row r="39" customFormat="false" ht="15" hidden="false" customHeight="false" outlineLevel="0" collapsed="false">
      <c r="A39" s="7" t="s">
        <v>604</v>
      </c>
      <c r="B39" s="17" t="s">
        <v>141</v>
      </c>
      <c r="D39" s="45" t="n">
        <f aca="false">IF(D17=0,0,(D30+D31)/D17)</f>
        <v>0</v>
      </c>
      <c r="E39" s="45" t="n">
        <f aca="false">IF(E17=0,0,(E30+E31)/E17)</f>
        <v>0</v>
      </c>
      <c r="F39" s="45" t="n">
        <f aca="false">IF(F17=0,0,(F30+F31)/F17)</f>
        <v>0.0527180227418808</v>
      </c>
      <c r="G39" s="45" t="n">
        <f aca="false">IF(G17=0,0,(G30+G31)/G17)</f>
        <v>0.10767323983649</v>
      </c>
      <c r="H39" s="45" t="n">
        <f aca="false">IF(H17=0,0,(H30+H31)/H17)</f>
        <v>0.194692480005833</v>
      </c>
      <c r="I39" s="45" t="n">
        <f aca="false">IF(I17=0,0,(I30+I31)/I17)</f>
        <v>0.324536090500927</v>
      </c>
      <c r="J39" s="45" t="n">
        <f aca="false">IF(J17=0,0,(J30+J31)/J17)</f>
        <v>0.490784853623171</v>
      </c>
      <c r="K39" s="45" t="n">
        <f aca="false">IF(K17=0,0,(K30+K31)/K17)</f>
        <v>0.653059150715912</v>
      </c>
      <c r="L39" s="45" t="n">
        <f aca="false">IF(L17=0,0,(L30+L31)/L17)</f>
        <v>0.784986143542627</v>
      </c>
      <c r="M39" s="45" t="n">
        <f aca="false">IF(M17=0,0,(M30+M31)/M17)</f>
        <v>0.874415080831432</v>
      </c>
      <c r="N39" s="45" t="n">
        <f aca="false">IF(N17=0,0,(N30+N31)/N17)</f>
        <v>0.927696672406702</v>
      </c>
      <c r="O39" s="45" t="n">
        <f aca="false">IF(O17=0,0,(O30+O31)/O17)</f>
        <v>0.958672930284184</v>
      </c>
      <c r="P39" s="45" t="n">
        <f aca="false">IF(P17=0,0,(P30+P31)/P17)</f>
        <v>0.978211491529393</v>
      </c>
      <c r="Q39" s="45" t="n">
        <f aca="false">IF(Q17=0,0,(Q30+Q31)/Q17)</f>
        <v>0.992428335708103</v>
      </c>
      <c r="R39" s="45" t="n">
        <f aca="false">IF(R17=0,0,(R30+R31)/R17)</f>
        <v>1.00430336660692</v>
      </c>
    </row>
    <row r="40" customFormat="false" ht="15" hidden="false" customHeight="false" outlineLevel="0" collapsed="false">
      <c r="A40" s="5" t="s">
        <v>605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customFormat="false" ht="15" hidden="false" customHeight="false" outlineLevel="0" collapsed="false">
      <c r="A41" s="7" t="s">
        <v>606</v>
      </c>
      <c r="B41" s="17" t="s">
        <v>116</v>
      </c>
      <c r="D41" s="42" t="n">
        <f aca="false">D36*(1-Inputs!$D$52)+D35*Inputs!$D$53</f>
        <v>90</v>
      </c>
      <c r="E41" s="42" t="n">
        <f aca="false">E36*(1-Inputs!$D$52)+E35*Inputs!$D$53</f>
        <v>113.5</v>
      </c>
      <c r="F41" s="42" t="n">
        <f aca="false">F36*(1-Inputs!$D$52)+F35*Inputs!$D$53</f>
        <v>89.5</v>
      </c>
      <c r="G41" s="42" t="n">
        <f aca="false">G36*(1-Inputs!$D$52)+G35*Inputs!$D$53</f>
        <v>81</v>
      </c>
      <c r="H41" s="42" t="n">
        <f aca="false">H36*(1-Inputs!$D$52)+H35*Inputs!$D$53</f>
        <v>91.5</v>
      </c>
      <c r="I41" s="42" t="n">
        <f aca="false">I36*(1-Inputs!$D$52)+I35*Inputs!$D$53</f>
        <v>94.02</v>
      </c>
      <c r="J41" s="42" t="n">
        <f aca="false">J36*(1-Inputs!$D$52)+J35*Inputs!$D$53</f>
        <v>96.6408</v>
      </c>
      <c r="K41" s="42" t="n">
        <f aca="false">K36*(1-Inputs!$D$52)+K35*Inputs!$D$53</f>
        <v>99.366432</v>
      </c>
      <c r="L41" s="42" t="n">
        <f aca="false">L36*(1-Inputs!$D$52)+L35*Inputs!$D$53</f>
        <v>102.20108928</v>
      </c>
      <c r="M41" s="42" t="n">
        <f aca="false">M36*(1-Inputs!$D$52)+M35*Inputs!$D$53</f>
        <v>105.1491328512</v>
      </c>
      <c r="N41" s="42" t="n">
        <f aca="false">N36*(1-Inputs!$D$52)+N35*Inputs!$D$53</f>
        <v>108.215098165248</v>
      </c>
      <c r="O41" s="42" t="n">
        <f aca="false">O36*(1-Inputs!$D$52)+O35*Inputs!$D$53</f>
        <v>111.403702091858</v>
      </c>
      <c r="P41" s="42" t="n">
        <f aca="false">P36*(1-Inputs!$D$52)+P35*Inputs!$D$53</f>
        <v>114.719850175532</v>
      </c>
      <c r="Q41" s="42" t="n">
        <f aca="false">Q36*(1-Inputs!$D$52)+Q35*Inputs!$D$53</f>
        <v>118.168644182554</v>
      </c>
      <c r="R41" s="42" t="n">
        <f aca="false">R36*(1-Inputs!$D$52)+R35*Inputs!$D$53</f>
        <v>121.755389949856</v>
      </c>
    </row>
    <row r="42" customFormat="false" ht="15" hidden="false" customHeight="false" outlineLevel="0" collapsed="false">
      <c r="A42" s="7" t="s">
        <v>607</v>
      </c>
      <c r="B42" s="17" t="s">
        <v>116</v>
      </c>
      <c r="D42" s="42" t="n">
        <f aca="false">(D33+D34)*Inputs!$E$76</f>
        <v>0</v>
      </c>
      <c r="E42" s="42" t="n">
        <f aca="false">(E33+E34)*Inputs!$E$76</f>
        <v>0</v>
      </c>
      <c r="F42" s="42" t="n">
        <f aca="false">(F33+F34)*Inputs!$E$76</f>
        <v>17.9828292505625</v>
      </c>
      <c r="G42" s="42" t="n">
        <f aca="false">(G33+G34)*Inputs!$E$76</f>
        <v>46.2782825781754</v>
      </c>
      <c r="H42" s="42" t="n">
        <f aca="false">(H33+H34)*Inputs!$E$76</f>
        <v>89.7542947198971</v>
      </c>
      <c r="I42" s="42" t="n">
        <f aca="false">(I33+I34)*Inputs!$E$76</f>
        <v>149.41356304849</v>
      </c>
      <c r="J42" s="42" t="n">
        <f aca="false">(J33+J34)*Inputs!$E$76</f>
        <v>209.162043970251</v>
      </c>
      <c r="K42" s="42" t="n">
        <f aca="false">(K33+K34)*Inputs!$E$76</f>
        <v>263.007392636046</v>
      </c>
      <c r="L42" s="42" t="n">
        <f aca="false">(L33+L34)*Inputs!$E$76</f>
        <v>300.789561804563</v>
      </c>
      <c r="M42" s="42" t="n">
        <f aca="false">(M33+M34)*Inputs!$E$76</f>
        <v>325.657552264839</v>
      </c>
      <c r="N42" s="42" t="n">
        <f aca="false">(N33+N34)*Inputs!$E$76</f>
        <v>342.53140656363</v>
      </c>
      <c r="O42" s="42" t="n">
        <f aca="false">(O33+O34)*Inputs!$E$76</f>
        <v>355.23611939162</v>
      </c>
      <c r="P42" s="42" t="n">
        <f aca="false">(P33+P34)*Inputs!$E$76</f>
        <v>366.032314984102</v>
      </c>
      <c r="Q42" s="42" t="n">
        <f aca="false">(Q33+Q34)*Inputs!$E$76</f>
        <v>376.071966113323</v>
      </c>
      <c r="R42" s="42" t="n">
        <f aca="false">(R33+R34)*Inputs!$E$76</f>
        <v>385.900915785365</v>
      </c>
    </row>
    <row r="43" customFormat="false" ht="15" hidden="false" customHeight="false" outlineLevel="0" collapsed="false">
      <c r="A43" s="7" t="s">
        <v>608</v>
      </c>
      <c r="B43" s="17" t="s">
        <v>116</v>
      </c>
      <c r="D43" s="42" t="n">
        <f aca="false">D33*Inputs!$D$47</f>
        <v>0</v>
      </c>
      <c r="E43" s="42" t="n">
        <f aca="false">E33*Inputs!$D$47</f>
        <v>0</v>
      </c>
      <c r="F43" s="42" t="n">
        <f aca="false">F33*Inputs!$D$47</f>
        <v>4.14988367320674</v>
      </c>
      <c r="G43" s="42" t="n">
        <f aca="false">G33*Inputs!$D$47</f>
        <v>10.6796036718866</v>
      </c>
      <c r="H43" s="42" t="n">
        <f aca="false">H33*Inputs!$D$47</f>
        <v>20.3151620915433</v>
      </c>
      <c r="I43" s="42" t="n">
        <f aca="false">I33*Inputs!$D$47</f>
        <v>33.3722217433485</v>
      </c>
      <c r="J43" s="42" t="n">
        <f aca="false">J33*Inputs!$D$47</f>
        <v>46.1608037887929</v>
      </c>
      <c r="K43" s="42" t="n">
        <f aca="false">K33*Inputs!$D$47</f>
        <v>57.1085645165202</v>
      </c>
      <c r="L43" s="42" t="n">
        <f aca="false">L33*Inputs!$D$47</f>
        <v>64.2764227457889</v>
      </c>
      <c r="M43" s="42" t="n">
        <f aca="false">M33*Inputs!$D$47</f>
        <v>68.7969754200732</v>
      </c>
      <c r="N43" s="42" t="n">
        <f aca="false">N33*Inputs!$D$47</f>
        <v>71.8933368794437</v>
      </c>
      <c r="O43" s="42" t="n">
        <f aca="false">O33*Inputs!$D$47</f>
        <v>74.3221682456003</v>
      </c>
      <c r="P43" s="42" t="n">
        <f aca="false">P33*Inputs!$D$47</f>
        <v>76.4690497314573</v>
      </c>
      <c r="Q43" s="42" t="n">
        <f aca="false">Q33*Inputs!$D$47</f>
        <v>78.5156235836301</v>
      </c>
      <c r="R43" s="42" t="n">
        <f aca="false">R33*Inputs!$D$47</f>
        <v>80.5449480542582</v>
      </c>
    </row>
    <row r="44" customFormat="false" ht="15" hidden="false" customHeight="false" outlineLevel="0" collapsed="false">
      <c r="A44" s="7" t="s">
        <v>609</v>
      </c>
      <c r="B44" s="17" t="s">
        <v>116</v>
      </c>
      <c r="D44" s="42" t="n">
        <f aca="false">IF(D$6&gt;=Inputs!$D$45,Inputs!$D$46*D7,0)</f>
        <v>0</v>
      </c>
      <c r="E44" s="42" t="n">
        <f aca="false">IF(E$6&gt;=Inputs!$D$45,Inputs!$D$46*E7,0)</f>
        <v>100</v>
      </c>
      <c r="F44" s="42" t="n">
        <f aca="false">IF(F$6&gt;=Inputs!$D$45,Inputs!$D$46*F7,0)</f>
        <v>100</v>
      </c>
      <c r="G44" s="42" t="n">
        <f aca="false">IF(G$6&gt;=Inputs!$D$45,Inputs!$D$46*G7,0)</f>
        <v>100</v>
      </c>
      <c r="H44" s="42" t="n">
        <f aca="false">IF(H$6&gt;=Inputs!$D$45,Inputs!$D$46*H7,0)</f>
        <v>100</v>
      </c>
      <c r="I44" s="42" t="n">
        <f aca="false">IF(I$6&gt;=Inputs!$D$45,Inputs!$D$46*I7,0)</f>
        <v>100</v>
      </c>
      <c r="J44" s="42" t="n">
        <f aca="false">IF(J$6&gt;=Inputs!$D$45,Inputs!$D$46*J7,0)</f>
        <v>100</v>
      </c>
      <c r="K44" s="42" t="n">
        <f aca="false">IF(K$6&gt;=Inputs!$D$45,Inputs!$D$46*K7,0)</f>
        <v>100</v>
      </c>
      <c r="L44" s="42" t="n">
        <f aca="false">IF(L$6&gt;=Inputs!$D$45,Inputs!$D$46*L7,0)</f>
        <v>100</v>
      </c>
      <c r="M44" s="42" t="n">
        <f aca="false">IF(M$6&gt;=Inputs!$D$45,Inputs!$D$46*M7,0)</f>
        <v>100</v>
      </c>
      <c r="N44" s="42" t="n">
        <f aca="false">IF(N$6&gt;=Inputs!$D$45,Inputs!$D$46*N7,0)</f>
        <v>100</v>
      </c>
      <c r="O44" s="42" t="n">
        <f aca="false">IF(O$6&gt;=Inputs!$D$45,Inputs!$D$46*O7,0)</f>
        <v>100</v>
      </c>
      <c r="P44" s="42" t="n">
        <f aca="false">IF(P$6&gt;=Inputs!$D$45,Inputs!$D$46*P7,0)</f>
        <v>100</v>
      </c>
      <c r="Q44" s="42" t="n">
        <f aca="false">IF(Q$6&gt;=Inputs!$D$45,Inputs!$D$46*Q7,0)</f>
        <v>100</v>
      </c>
      <c r="R44" s="42" t="n">
        <f aca="false">IF(R$6&gt;=Inputs!$D$45,Inputs!$D$46*R7,0)</f>
        <v>100</v>
      </c>
    </row>
    <row r="45" customFormat="false" ht="15" hidden="false" customHeight="false" outlineLevel="0" collapsed="false">
      <c r="A45" s="7" t="s">
        <v>610</v>
      </c>
      <c r="B45" s="17" t="s">
        <v>116</v>
      </c>
      <c r="D45" s="16" t="n">
        <f aca="false">Inputs!$E$89</f>
        <v>210</v>
      </c>
      <c r="E45" s="42" t="n">
        <f aca="false">IF(E$6=2027,Inputs!$E$90,D45*(1+IF(E$6=2028,Inputs!$E$91,IF(E$6=2029,Inputs!$E$92,IF(E$6=2030,Inputs!$E$93,Inputs!$E$94)))))</f>
        <v>470</v>
      </c>
      <c r="F45" s="42" t="n">
        <f aca="false">IF(F$6=2027,Inputs!$E$90,E45*(1+IF(F$6=2028,Inputs!$E$91,IF(F$6=2029,Inputs!$E$92,IF(F$6=2030,Inputs!$E$93,Inputs!$E$94)))))</f>
        <v>512.3</v>
      </c>
      <c r="G45" s="42" t="n">
        <f aca="false">IF(G$6=2027,Inputs!$E$90,F45*(1+IF(G$6=2028,Inputs!$E$91,IF(G$6=2029,Inputs!$E$92,IF(G$6=2030,Inputs!$E$93,Inputs!$E$94)))))</f>
        <v>548.161</v>
      </c>
      <c r="H45" s="42" t="n">
        <f aca="false">IF(H$6=2027,Inputs!$E$90,G45*(1+IF(H$6=2028,Inputs!$E$91,IF(H$6=2029,Inputs!$E$92,IF(H$6=2030,Inputs!$E$93,Inputs!$E$94)))))</f>
        <v>575.56905</v>
      </c>
      <c r="I45" s="42" t="n">
        <f aca="false">IF(I$6=2027,Inputs!$E$90,H45*(1+IF(I$6=2028,Inputs!$E$91,IF(I$6=2029,Inputs!$E$92,IF(I$6=2030,Inputs!$E$93,Inputs!$E$94)))))</f>
        <v>595.71396675</v>
      </c>
      <c r="J45" s="42" t="n">
        <f aca="false">IF(J$6=2027,Inputs!$E$90,I45*(1+IF(J$6=2028,Inputs!$E$91,IF(J$6=2029,Inputs!$E$92,IF(J$6=2030,Inputs!$E$93,Inputs!$E$94)))))</f>
        <v>616.56395558625</v>
      </c>
      <c r="K45" s="42" t="n">
        <f aca="false">IF(K$6=2027,Inputs!$E$90,J45*(1+IF(K$6=2028,Inputs!$E$91,IF(K$6=2029,Inputs!$E$92,IF(K$6=2030,Inputs!$E$93,Inputs!$E$94)))))</f>
        <v>638.143694031769</v>
      </c>
      <c r="L45" s="42" t="n">
        <f aca="false">IF(L$6=2027,Inputs!$E$90,K45*(1+IF(L$6=2028,Inputs!$E$91,IF(L$6=2029,Inputs!$E$92,IF(L$6=2030,Inputs!$E$93,Inputs!$E$94)))))</f>
        <v>660.478723322881</v>
      </c>
      <c r="M45" s="42" t="n">
        <f aca="false">IF(M$6=2027,Inputs!$E$90,L45*(1+IF(M$6=2028,Inputs!$E$91,IF(M$6=2029,Inputs!$E$92,IF(M$6=2030,Inputs!$E$93,Inputs!$E$94)))))</f>
        <v>683.595478639181</v>
      </c>
      <c r="N45" s="42" t="n">
        <f aca="false">IF(N$6=2027,Inputs!$E$90,M45*(1+IF(N$6=2028,Inputs!$E$91,IF(N$6=2029,Inputs!$E$92,IF(N$6=2030,Inputs!$E$93,Inputs!$E$94)))))</f>
        <v>707.521320391553</v>
      </c>
      <c r="O45" s="42" t="n">
        <f aca="false">IF(O$6=2027,Inputs!$E$90,N45*(1+IF(O$6=2028,Inputs!$E$91,IF(O$6=2029,Inputs!$E$92,IF(O$6=2030,Inputs!$E$93,Inputs!$E$94)))))</f>
        <v>732.284566605257</v>
      </c>
      <c r="P45" s="42" t="n">
        <f aca="false">IF(P$6=2027,Inputs!$E$90,O45*(1+IF(P$6=2028,Inputs!$E$91,IF(P$6=2029,Inputs!$E$92,IF(P$6=2030,Inputs!$E$93,Inputs!$E$94)))))</f>
        <v>757.914526436441</v>
      </c>
      <c r="Q45" s="42" t="n">
        <f aca="false">IF(Q$6=2027,Inputs!$E$90,P45*(1+IF(Q$6=2028,Inputs!$E$91,IF(Q$6=2029,Inputs!$E$92,IF(Q$6=2030,Inputs!$E$93,Inputs!$E$94)))))</f>
        <v>784.441534861716</v>
      </c>
      <c r="R45" s="42" t="n">
        <f aca="false">IF(R$6=2027,Inputs!$E$90,Q45*(1+IF(R$6=2028,Inputs!$E$91,IF(R$6=2029,Inputs!$E$92,IF(R$6=2030,Inputs!$E$93,Inputs!$E$94)))))</f>
        <v>811.896988581876</v>
      </c>
    </row>
    <row r="46" customFormat="false" ht="15" hidden="false" customHeight="false" outlineLevel="0" collapsed="false">
      <c r="A46" s="7" t="s">
        <v>611</v>
      </c>
      <c r="B46" s="17" t="s">
        <v>116</v>
      </c>
      <c r="D46" s="42" t="n">
        <f aca="false">D17*Inputs!$D$48*D7</f>
        <v>12</v>
      </c>
      <c r="E46" s="42" t="n">
        <f aca="false">E17*Inputs!$D$48*E7</f>
        <v>65</v>
      </c>
      <c r="F46" s="42" t="n">
        <f aca="false">F17*Inputs!$D$48*F7</f>
        <v>105</v>
      </c>
      <c r="G46" s="42" t="n">
        <f aca="false">G17*Inputs!$D$48*G7</f>
        <v>135</v>
      </c>
      <c r="H46" s="42" t="n">
        <f aca="false">H17*Inputs!$D$48*H7</f>
        <v>165</v>
      </c>
      <c r="I46" s="42" t="n">
        <f aca="false">I17*Inputs!$D$48*I7</f>
        <v>180</v>
      </c>
      <c r="J46" s="42" t="n">
        <f aca="false">J17*Inputs!$D$48*J7</f>
        <v>180</v>
      </c>
      <c r="K46" s="42" t="n">
        <f aca="false">K17*Inputs!$D$48*K7</f>
        <v>180</v>
      </c>
      <c r="L46" s="42" t="n">
        <f aca="false">L17*Inputs!$D$48*L7</f>
        <v>180</v>
      </c>
      <c r="M46" s="42" t="n">
        <f aca="false">M17*Inputs!$D$48*M7</f>
        <v>180</v>
      </c>
      <c r="N46" s="42" t="n">
        <f aca="false">N17*Inputs!$D$48*N7</f>
        <v>180</v>
      </c>
      <c r="O46" s="42" t="n">
        <f aca="false">O17*Inputs!$D$48*O7</f>
        <v>180</v>
      </c>
      <c r="P46" s="42" t="n">
        <f aca="false">P17*Inputs!$D$48*P7</f>
        <v>180</v>
      </c>
      <c r="Q46" s="42" t="n">
        <f aca="false">Q17*Inputs!$D$48*Q7</f>
        <v>180</v>
      </c>
      <c r="R46" s="42" t="n">
        <f aca="false">R17*Inputs!$D$48*R7</f>
        <v>180</v>
      </c>
    </row>
    <row r="47" customFormat="false" ht="15" hidden="false" customHeight="false" outlineLevel="0" collapsed="false">
      <c r="A47" s="7" t="s">
        <v>612</v>
      </c>
      <c r="B47" s="17" t="s">
        <v>116</v>
      </c>
      <c r="D47" s="16" t="n">
        <f aca="false">Inputs!$E$95</f>
        <v>125</v>
      </c>
      <c r="E47" s="42" t="n">
        <f aca="false">MAX(Inputs!$E$96*(1-Inputs!$E$97)^MAX(0,E$6-2027),Inputs!$E$98*E37)</f>
        <v>240</v>
      </c>
      <c r="F47" s="42" t="n">
        <f aca="false">MAX(Inputs!$E$96*(1-Inputs!$E$97)^MAX(0,F$6-2027),Inputs!$E$98*F37)</f>
        <v>216</v>
      </c>
      <c r="G47" s="42" t="n">
        <f aca="false">MAX(Inputs!$E$96*(1-Inputs!$E$97)^MAX(0,G$6-2027),Inputs!$E$98*G37)</f>
        <v>194.4</v>
      </c>
      <c r="H47" s="42" t="n">
        <f aca="false">MAX(Inputs!$E$96*(1-Inputs!$E$97)^MAX(0,H$6-2027),Inputs!$E$98*H37)</f>
        <v>174.96</v>
      </c>
      <c r="I47" s="42" t="n">
        <f aca="false">MAX(Inputs!$E$96*(1-Inputs!$E$97)^MAX(0,I$6-2027),Inputs!$E$98*I37)</f>
        <v>157.464</v>
      </c>
      <c r="J47" s="42" t="n">
        <f aca="false">MAX(Inputs!$E$96*(1-Inputs!$E$97)^MAX(0,J$6-2027),Inputs!$E$98*J37)</f>
        <v>141.7176</v>
      </c>
      <c r="K47" s="42" t="n">
        <f aca="false">MAX(Inputs!$E$96*(1-Inputs!$E$97)^MAX(0,K$6-2027),Inputs!$E$98*K37)</f>
        <v>127.54584</v>
      </c>
      <c r="L47" s="42" t="n">
        <f aca="false">MAX(Inputs!$E$96*(1-Inputs!$E$97)^MAX(0,L$6-2027),Inputs!$E$98*L37)</f>
        <v>114.791256</v>
      </c>
      <c r="M47" s="42" t="n">
        <f aca="false">MAX(Inputs!$E$96*(1-Inputs!$E$97)^MAX(0,M$6-2027),Inputs!$E$98*M37)</f>
        <v>103.3121304</v>
      </c>
      <c r="N47" s="42" t="n">
        <f aca="false">MAX(Inputs!$E$96*(1-Inputs!$E$97)^MAX(0,N$6-2027),Inputs!$E$98*N37)</f>
        <v>101.241503891348</v>
      </c>
      <c r="O47" s="42" t="n">
        <f aca="false">MAX(Inputs!$E$96*(1-Inputs!$E$97)^MAX(0,O$6-2027),Inputs!$E$98*O37)</f>
        <v>104.980863891545</v>
      </c>
      <c r="P47" s="42" t="n">
        <f aca="false">MAX(Inputs!$E$96*(1-Inputs!$E$97)^MAX(0,P$6-2027),Inputs!$E$98*P37)</f>
        <v>108.219146744042</v>
      </c>
      <c r="Q47" s="42" t="n">
        <f aca="false">MAX(Inputs!$E$96*(1-Inputs!$E$97)^MAX(0,Q$6-2027),Inputs!$E$98*Q37)</f>
        <v>111.267009141073</v>
      </c>
      <c r="R47" s="42" t="n">
        <f aca="false">MAX(Inputs!$E$96*(1-Inputs!$E$97)^MAX(0,R$6-2027),Inputs!$E$98*R37)</f>
        <v>114.271939398738</v>
      </c>
    </row>
    <row r="48" customFormat="false" ht="15" hidden="false" customHeight="false" outlineLevel="0" collapsed="false">
      <c r="A48" s="3" t="s">
        <v>613</v>
      </c>
      <c r="B48" s="17" t="s">
        <v>116</v>
      </c>
      <c r="D48" s="55" t="n">
        <f aca="false">SUM(D41:D47)</f>
        <v>437</v>
      </c>
      <c r="E48" s="55" t="n">
        <f aca="false">SUM(E41:E47)</f>
        <v>988.5</v>
      </c>
      <c r="F48" s="55" t="n">
        <f aca="false">SUM(F41:F47)</f>
        <v>1044.93271292377</v>
      </c>
      <c r="G48" s="55" t="n">
        <f aca="false">SUM(G41:G47)</f>
        <v>1115.51888625006</v>
      </c>
      <c r="H48" s="55" t="n">
        <f aca="false">SUM(H41:H47)</f>
        <v>1217.09850681144</v>
      </c>
      <c r="I48" s="55" t="n">
        <f aca="false">SUM(I41:I47)</f>
        <v>1309.98375154184</v>
      </c>
      <c r="J48" s="55" t="n">
        <f aca="false">SUM(J41:J47)</f>
        <v>1390.24520334529</v>
      </c>
      <c r="K48" s="55" t="n">
        <f aca="false">SUM(K41:K47)</f>
        <v>1465.17192318434</v>
      </c>
      <c r="L48" s="55" t="n">
        <f aca="false">SUM(L41:L47)</f>
        <v>1522.53705315323</v>
      </c>
      <c r="M48" s="55" t="n">
        <f aca="false">SUM(M41:M47)</f>
        <v>1566.51126957529</v>
      </c>
      <c r="N48" s="55" t="n">
        <f aca="false">SUM(N41:N47)</f>
        <v>1611.40266589122</v>
      </c>
      <c r="O48" s="55" t="n">
        <f aca="false">SUM(O41:O47)</f>
        <v>1658.22742022588</v>
      </c>
      <c r="P48" s="55" t="n">
        <f aca="false">SUM(P41:P47)</f>
        <v>1703.35488807157</v>
      </c>
      <c r="Q48" s="55" t="n">
        <f aca="false">SUM(Q41:Q47)</f>
        <v>1748.4647778823</v>
      </c>
      <c r="R48" s="55" t="n">
        <f aca="false">SUM(R41:R47)</f>
        <v>1794.37018177009</v>
      </c>
    </row>
    <row r="49" customFormat="false" ht="15" hidden="false" customHeight="false" outlineLevel="0" collapsed="false">
      <c r="A49" s="3" t="s">
        <v>614</v>
      </c>
      <c r="B49" s="17" t="s">
        <v>116</v>
      </c>
      <c r="D49" s="55" t="n">
        <f aca="false">D37-D48</f>
        <v>-317</v>
      </c>
      <c r="E49" s="55" t="n">
        <f aca="false">E37-E48</f>
        <v>-818.5</v>
      </c>
      <c r="F49" s="55" t="n">
        <f aca="false">F37-F48</f>
        <v>-736.603257150211</v>
      </c>
      <c r="G49" s="55" t="n">
        <f aca="false">G37-G48</f>
        <v>-579.532097187175</v>
      </c>
      <c r="H49" s="55" t="n">
        <f aca="false">H37-H48</f>
        <v>-316.680855119924</v>
      </c>
      <c r="I49" s="55" t="n">
        <f aca="false">I37-I48</f>
        <v>56.5513488311581</v>
      </c>
      <c r="J49" s="55" t="n">
        <f aca="false">J37-J48</f>
        <v>443.381596425866</v>
      </c>
      <c r="K49" s="55" t="n">
        <f aca="false">K37-K48</f>
        <v>790.437386323714</v>
      </c>
      <c r="L49" s="55" t="n">
        <f aca="false">L37-L48</f>
        <v>1031.80334768187</v>
      </c>
      <c r="M49" s="55" t="n">
        <f aca="false">M37-M48</f>
        <v>1187.54434720162</v>
      </c>
      <c r="N49" s="55" t="n">
        <f aca="false">N37-N48</f>
        <v>1281.21173100444</v>
      </c>
      <c r="O49" s="55" t="n">
        <f aca="false">O37-O48</f>
        <v>1341.22583381826</v>
      </c>
      <c r="P49" s="55" t="n">
        <f aca="false">P37-P48</f>
        <v>1388.62073318678</v>
      </c>
      <c r="Q49" s="55" t="n">
        <f aca="false">Q37-Q48</f>
        <v>1430.59262614836</v>
      </c>
      <c r="R49" s="55" t="n">
        <f aca="false">R37-R48</f>
        <v>1470.54237247955</v>
      </c>
      <c r="S49" s="54" t="n">
        <f aca="false">R49*(1+Inputs!$D$20)</f>
        <v>1507.30593179154</v>
      </c>
    </row>
    <row r="50" customFormat="false" ht="15" hidden="false" customHeight="false" outlineLevel="0" collapsed="false">
      <c r="A50" s="7" t="s">
        <v>615</v>
      </c>
      <c r="B50" s="17" t="s">
        <v>68</v>
      </c>
      <c r="D50" s="41" t="n">
        <f aca="false">IF(D37=0,0,D49/D37)</f>
        <v>-2.64166666666667</v>
      </c>
      <c r="E50" s="41" t="n">
        <f aca="false">IF(E37=0,0,E49/E37)</f>
        <v>-4.81470588235294</v>
      </c>
      <c r="F50" s="41" t="n">
        <f aca="false">IF(F37=0,0,F49/F37)</f>
        <v>-2.38901358062651</v>
      </c>
      <c r="G50" s="41" t="n">
        <f aca="false">IF(G37=0,0,G49/G37)</f>
        <v>-1.08124324892489</v>
      </c>
      <c r="H50" s="41" t="n">
        <f aca="false">IF(H37=0,0,H49/H37)</f>
        <v>-0.351704405755497</v>
      </c>
      <c r="I50" s="41" t="n">
        <f aca="false">IF(I37=0,0,I49/I37)</f>
        <v>0.0413830195914634</v>
      </c>
      <c r="J50" s="41" t="n">
        <f aca="false">IF(J37=0,0,J49/J37)</f>
        <v>0.241805800657583</v>
      </c>
      <c r="K50" s="41" t="n">
        <f aca="false">IF(K37=0,0,K49/K37)</f>
        <v>0.350431869114829</v>
      </c>
      <c r="L50" s="41" t="n">
        <f aca="false">IF(L37=0,0,L49/L37)</f>
        <v>0.403941208205663</v>
      </c>
      <c r="M50" s="41" t="n">
        <f aca="false">IF(M37=0,0,M49/M37)</f>
        <v>0.431198389737463</v>
      </c>
      <c r="N50" s="41" t="n">
        <f aca="false">IF(N37=0,0,N49/N37)</f>
        <v>0.44292517259799</v>
      </c>
      <c r="O50" s="41" t="n">
        <f aca="false">IF(O37=0,0,O49/O37)</f>
        <v>0.447156771658267</v>
      </c>
      <c r="P50" s="41" t="n">
        <f aca="false">IF(P37=0,0,P49/P37)</f>
        <v>0.449104683633193</v>
      </c>
      <c r="Q50" s="41" t="n">
        <f aca="false">IF(Q37=0,0,Q49/Q37)</f>
        <v>0.450005282803181</v>
      </c>
      <c r="R50" s="41" t="n">
        <f aca="false">IF(R37=0,0,R49/R37)</f>
        <v>0.450407889352344</v>
      </c>
    </row>
    <row r="51" customFormat="false" ht="15" hidden="false" customHeight="false" outlineLevel="0" collapsed="false">
      <c r="A51" s="5" t="s">
        <v>616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customFormat="false" ht="15" hidden="false" customHeight="false" outlineLevel="0" collapsed="false">
      <c r="A52" s="7" t="s">
        <v>617</v>
      </c>
      <c r="B52" s="17" t="s">
        <v>116</v>
      </c>
      <c r="D52" s="42" t="n">
        <f aca="false">IF(D$6=2026,Inputs!$E$100,IF(D$6=2027,Inputs!$E$101,IF(D$6=2028,Inputs!$E$102,MAX(Inputs!$E$104,Inputs!$E$103*D37))))</f>
        <v>170</v>
      </c>
      <c r="E52" s="42" t="n">
        <f aca="false">IF(E$6=2026,Inputs!$E$100,IF(E$6=2027,Inputs!$E$101,IF(E$6=2028,Inputs!$E$102,MAX(Inputs!$E$104,Inputs!$E$103*E37))))</f>
        <v>230</v>
      </c>
      <c r="F52" s="42" t="n">
        <f aca="false">IF(F$6=2026,Inputs!$E$100,IF(F$6=2027,Inputs!$E$101,IF(F$6=2028,Inputs!$E$102,MAX(Inputs!$E$104,Inputs!$E$103*F37))))</f>
        <v>170</v>
      </c>
      <c r="G52" s="42" t="n">
        <f aca="false">IF(G$6=2026,Inputs!$E$100,IF(G$6=2027,Inputs!$E$101,IF(G$6=2028,Inputs!$E$102,MAX(Inputs!$E$104,Inputs!$E$103*G37))))</f>
        <v>80</v>
      </c>
      <c r="H52" s="42" t="n">
        <f aca="false">IF(H$6=2026,Inputs!$E$100,IF(H$6=2027,Inputs!$E$101,IF(H$6=2028,Inputs!$E$102,MAX(Inputs!$E$104,Inputs!$E$103*H37))))</f>
        <v>80</v>
      </c>
      <c r="I52" s="42" t="n">
        <f aca="false">IF(I$6=2026,Inputs!$E$100,IF(I$6=2027,Inputs!$E$101,IF(I$6=2028,Inputs!$E$102,MAX(Inputs!$E$104,Inputs!$E$103*I37))))</f>
        <v>80</v>
      </c>
      <c r="J52" s="42" t="n">
        <f aca="false">IF(J$6=2026,Inputs!$E$100,IF(J$6=2027,Inputs!$E$101,IF(J$6=2028,Inputs!$E$102,MAX(Inputs!$E$104,Inputs!$E$103*J37))))</f>
        <v>80</v>
      </c>
      <c r="K52" s="42" t="n">
        <f aca="false">IF(K$6=2026,Inputs!$E$100,IF(K$6=2027,Inputs!$E$101,IF(K$6=2028,Inputs!$E$102,MAX(Inputs!$E$104,Inputs!$E$103*K37))))</f>
        <v>80</v>
      </c>
      <c r="L52" s="42" t="n">
        <f aca="false">IF(L$6=2026,Inputs!$E$100,IF(L$6=2027,Inputs!$E$101,IF(L$6=2028,Inputs!$E$102,MAX(Inputs!$E$104,Inputs!$E$103*L37))))</f>
        <v>89.4019140292286</v>
      </c>
      <c r="M52" s="42" t="n">
        <f aca="false">IF(M$6=2026,Inputs!$E$100,IF(M$6=2027,Inputs!$E$101,IF(M$6=2028,Inputs!$E$102,MAX(Inputs!$E$104,Inputs!$E$103*M37))))</f>
        <v>96.3919465871919</v>
      </c>
      <c r="N52" s="42" t="n">
        <f aca="false">IF(N$6=2026,Inputs!$E$100,IF(N$6=2027,Inputs!$E$101,IF(N$6=2028,Inputs!$E$102,MAX(Inputs!$E$104,Inputs!$E$103*N37))))</f>
        <v>101.241503891348</v>
      </c>
      <c r="O52" s="42" t="n">
        <f aca="false">IF(O$6=2026,Inputs!$E$100,IF(O$6=2027,Inputs!$E$101,IF(O$6=2028,Inputs!$E$102,MAX(Inputs!$E$104,Inputs!$E$103*O37))))</f>
        <v>104.980863891545</v>
      </c>
      <c r="P52" s="42" t="n">
        <f aca="false">IF(P$6=2026,Inputs!$E$100,IF(P$6=2027,Inputs!$E$101,IF(P$6=2028,Inputs!$E$102,MAX(Inputs!$E$104,Inputs!$E$103*P37))))</f>
        <v>108.219146744042</v>
      </c>
      <c r="Q52" s="42" t="n">
        <f aca="false">IF(Q$6=2026,Inputs!$E$100,IF(Q$6=2027,Inputs!$E$101,IF(Q$6=2028,Inputs!$E$102,MAX(Inputs!$E$104,Inputs!$E$103*Q37))))</f>
        <v>111.267009141073</v>
      </c>
      <c r="R52" s="42" t="n">
        <f aca="false">IF(R$6=2026,Inputs!$E$100,IF(R$6=2027,Inputs!$E$101,IF(R$6=2028,Inputs!$E$102,MAX(Inputs!$E$104,Inputs!$E$103*R37))))</f>
        <v>114.271939398738</v>
      </c>
    </row>
    <row r="53" customFormat="false" ht="15" hidden="false" customHeight="false" outlineLevel="0" collapsed="false">
      <c r="A53" s="7" t="s">
        <v>180</v>
      </c>
      <c r="B53" s="17" t="s">
        <v>116</v>
      </c>
      <c r="D53" s="16" t="n">
        <f aca="false">IF(D$6=Inputs!$D$45,Inputs!$D$44,0)</f>
        <v>0</v>
      </c>
      <c r="E53" s="16" t="n">
        <f aca="false">IF(E$6=Inputs!$D$45,Inputs!$D$44,0)</f>
        <v>550</v>
      </c>
      <c r="F53" s="16" t="n">
        <f aca="false">IF(F$6=Inputs!$D$45,Inputs!$D$44,0)</f>
        <v>0</v>
      </c>
      <c r="G53" s="16" t="n">
        <f aca="false">IF(G$6=Inputs!$D$45,Inputs!$D$44,0)</f>
        <v>0</v>
      </c>
      <c r="H53" s="16" t="n">
        <f aca="false">IF(H$6=Inputs!$D$45,Inputs!$D$44,0)</f>
        <v>0</v>
      </c>
      <c r="I53" s="16" t="n">
        <f aca="false">IF(I$6=Inputs!$D$45,Inputs!$D$44,0)</f>
        <v>0</v>
      </c>
      <c r="J53" s="16" t="n">
        <f aca="false">IF(J$6=Inputs!$D$45,Inputs!$D$44,0)</f>
        <v>0</v>
      </c>
      <c r="K53" s="16" t="n">
        <f aca="false">IF(K$6=Inputs!$D$45,Inputs!$D$44,0)</f>
        <v>0</v>
      </c>
      <c r="L53" s="16" t="n">
        <f aca="false">IF(L$6=Inputs!$D$45,Inputs!$D$44,0)</f>
        <v>0</v>
      </c>
      <c r="M53" s="16" t="n">
        <f aca="false">IF(M$6=Inputs!$D$45,Inputs!$D$44,0)</f>
        <v>0</v>
      </c>
      <c r="N53" s="16" t="n">
        <f aca="false">IF(N$6=Inputs!$D$45,Inputs!$D$44,0)</f>
        <v>0</v>
      </c>
      <c r="O53" s="16" t="n">
        <f aca="false">IF(O$6=Inputs!$D$45,Inputs!$D$44,0)</f>
        <v>0</v>
      </c>
      <c r="P53" s="16" t="n">
        <f aca="false">IF(P$6=Inputs!$D$45,Inputs!$D$44,0)</f>
        <v>0</v>
      </c>
      <c r="Q53" s="16" t="n">
        <f aca="false">IF(Q$6=Inputs!$D$45,Inputs!$D$44,0)</f>
        <v>0</v>
      </c>
      <c r="R53" s="16" t="n">
        <f aca="false">IF(R$6=Inputs!$D$45,Inputs!$D$44,0)</f>
        <v>0</v>
      </c>
    </row>
    <row r="54" customFormat="false" ht="15" hidden="false" customHeight="false" outlineLevel="0" collapsed="false">
      <c r="A54" s="7" t="s">
        <v>618</v>
      </c>
      <c r="B54" s="17" t="s">
        <v>116</v>
      </c>
      <c r="D54" s="16" t="n">
        <f aca="false">IF(D$6=2028,Inputs!$E$105,0)</f>
        <v>0</v>
      </c>
      <c r="E54" s="16" t="n">
        <f aca="false">IF(E$6=2028,Inputs!$E$105,0)</f>
        <v>0</v>
      </c>
      <c r="F54" s="16" t="n">
        <f aca="false">IF(F$6=2028,Inputs!$E$105,0)</f>
        <v>0</v>
      </c>
      <c r="G54" s="16" t="n">
        <f aca="false">IF(G$6=2028,Inputs!$E$105,0)</f>
        <v>0</v>
      </c>
      <c r="H54" s="16" t="n">
        <f aca="false">IF(H$6=2028,Inputs!$E$105,0)</f>
        <v>0</v>
      </c>
      <c r="I54" s="16" t="n">
        <f aca="false">IF(I$6=2028,Inputs!$E$105,0)</f>
        <v>0</v>
      </c>
      <c r="J54" s="16" t="n">
        <f aca="false">IF(J$6=2028,Inputs!$E$105,0)</f>
        <v>0</v>
      </c>
      <c r="K54" s="16" t="n">
        <f aca="false">IF(K$6=2028,Inputs!$E$105,0)</f>
        <v>0</v>
      </c>
      <c r="L54" s="16" t="n">
        <f aca="false">IF(L$6=2028,Inputs!$E$105,0)</f>
        <v>0</v>
      </c>
      <c r="M54" s="16" t="n">
        <f aca="false">IF(M$6=2028,Inputs!$E$105,0)</f>
        <v>0</v>
      </c>
      <c r="N54" s="16" t="n">
        <f aca="false">IF(N$6=2028,Inputs!$E$105,0)</f>
        <v>0</v>
      </c>
      <c r="O54" s="16" t="n">
        <f aca="false">IF(O$6=2028,Inputs!$E$105,0)</f>
        <v>0</v>
      </c>
      <c r="P54" s="16" t="n">
        <f aca="false">IF(P$6=2028,Inputs!$E$105,0)</f>
        <v>0</v>
      </c>
      <c r="Q54" s="16" t="n">
        <f aca="false">IF(Q$6=2028,Inputs!$E$105,0)</f>
        <v>0</v>
      </c>
      <c r="R54" s="16" t="n">
        <f aca="false">IF(R$6=2028,Inputs!$E$105,0)</f>
        <v>0</v>
      </c>
    </row>
    <row r="55" customFormat="false" ht="15" hidden="false" customHeight="false" outlineLevel="0" collapsed="false">
      <c r="A55" s="5" t="s">
        <v>619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customFormat="false" ht="15" hidden="false" customHeight="false" outlineLevel="0" collapsed="false">
      <c r="A56" s="7" t="s">
        <v>620</v>
      </c>
      <c r="B56" s="17" t="s">
        <v>116</v>
      </c>
      <c r="D56" s="42" t="n">
        <f aca="false">D19+D52</f>
        <v>574.21052631579</v>
      </c>
      <c r="E56" s="42" t="n">
        <f aca="false">E19+E52</f>
        <v>861.578947368421</v>
      </c>
      <c r="F56" s="42" t="n">
        <f aca="false">F19+F52</f>
        <v>548.947368421053</v>
      </c>
      <c r="G56" s="42" t="n">
        <f aca="false">G19+G52</f>
        <v>468.421052631579</v>
      </c>
      <c r="H56" s="42" t="n">
        <f aca="false">H19+H52</f>
        <v>478.131578947368</v>
      </c>
      <c r="I56" s="42" t="n">
        <f aca="false">I19+I52</f>
        <v>80</v>
      </c>
      <c r="J56" s="42" t="n">
        <f aca="false">J19+J52</f>
        <v>80</v>
      </c>
      <c r="K56" s="42" t="n">
        <f aca="false">K19+K52</f>
        <v>651.658886513158</v>
      </c>
      <c r="L56" s="42" t="n">
        <f aca="false">L19+L52</f>
        <v>821.839862374212</v>
      </c>
      <c r="M56" s="42" t="n">
        <f aca="false">M19+M52</f>
        <v>546.841284819357</v>
      </c>
      <c r="N56" s="42" t="n">
        <f aca="false">N19+N52</f>
        <v>562.952075579317</v>
      </c>
      <c r="O56" s="42" t="n">
        <f aca="false">O19+O52</f>
        <v>578.234199871713</v>
      </c>
      <c r="P56" s="42" t="n">
        <f aca="false">P19+P52</f>
        <v>108.219146744042</v>
      </c>
      <c r="Q56" s="42" t="n">
        <f aca="false">Q19+Q52</f>
        <v>111.267009141073</v>
      </c>
      <c r="R56" s="42" t="n">
        <f aca="false">R19+R52</f>
        <v>793.794713754762</v>
      </c>
    </row>
    <row r="57" customFormat="false" ht="15" hidden="false" customHeight="false" outlineLevel="0" collapsed="false">
      <c r="A57" s="7" t="s">
        <v>621</v>
      </c>
      <c r="B57" s="17" t="s">
        <v>116</v>
      </c>
      <c r="D57" s="42" t="n">
        <f aca="false">IF(Inputs!$D$25=1,D56,SUMIFS($D$56:D56,$D$6:D6,"&gt;"&amp;(D$6-ROUND(Inputs!$D$26,0)))/ROUND(Inputs!$D$26,0)*D7)</f>
        <v>574.21052631579</v>
      </c>
      <c r="E57" s="42" t="n">
        <f aca="false">IF(Inputs!$D$25=1,E56,SUMIFS($D$56:E56,$D$6:E6,"&gt;"&amp;(E$6-ROUND(Inputs!$D$26,0)))/ROUND(Inputs!$D$26,0)*E7)</f>
        <v>861.578947368421</v>
      </c>
      <c r="F57" s="42" t="n">
        <f aca="false">IF(Inputs!$D$25=1,F56,SUMIFS($D$56:F56,$D$6:F6,"&gt;"&amp;(F$6-ROUND(Inputs!$D$26,0)))/ROUND(Inputs!$D$26,0)*F7)</f>
        <v>548.947368421053</v>
      </c>
      <c r="G57" s="42" t="n">
        <f aca="false">IF(Inputs!$D$25=1,G56,SUMIFS($D$56:G56,$D$6:G6,"&gt;"&amp;(G$6-ROUND(Inputs!$D$26,0)))/ROUND(Inputs!$D$26,0)*G7)</f>
        <v>468.421052631579</v>
      </c>
      <c r="H57" s="42" t="n">
        <f aca="false">IF(Inputs!$D$25=1,H56,SUMIFS($D$56:H56,$D$6:H6,"&gt;"&amp;(H$6-ROUND(Inputs!$D$26,0)))/ROUND(Inputs!$D$26,0)*H7)</f>
        <v>478.131578947368</v>
      </c>
      <c r="I57" s="42" t="n">
        <f aca="false">IF(Inputs!$D$25=1,I56,SUMIFS($D$56:I56,$D$6:I6,"&gt;"&amp;(I$6-ROUND(Inputs!$D$26,0)))/ROUND(Inputs!$D$26,0)*I7)</f>
        <v>80</v>
      </c>
      <c r="J57" s="42" t="n">
        <f aca="false">IF(Inputs!$D$25=1,J56,SUMIFS($D$56:J56,$D$6:J6,"&gt;"&amp;(J$6-ROUND(Inputs!$D$26,0)))/ROUND(Inputs!$D$26,0)*J7)</f>
        <v>80</v>
      </c>
      <c r="K57" s="42" t="n">
        <f aca="false">IF(Inputs!$D$25=1,K56,SUMIFS($D$56:K56,$D$6:K6,"&gt;"&amp;(K$6-ROUND(Inputs!$D$26,0)))/ROUND(Inputs!$D$26,0)*K7)</f>
        <v>651.658886513158</v>
      </c>
      <c r="L57" s="42" t="n">
        <f aca="false">IF(Inputs!$D$25=1,L56,SUMIFS($D$56:L56,$D$6:L6,"&gt;"&amp;(L$6-ROUND(Inputs!$D$26,0)))/ROUND(Inputs!$D$26,0)*L7)</f>
        <v>821.839862374212</v>
      </c>
      <c r="M57" s="42" t="n">
        <f aca="false">IF(Inputs!$D$25=1,M56,SUMIFS($D$56:M56,$D$6:M6,"&gt;"&amp;(M$6-ROUND(Inputs!$D$26,0)))/ROUND(Inputs!$D$26,0)*M7)</f>
        <v>546.841284819357</v>
      </c>
      <c r="N57" s="42" t="n">
        <f aca="false">IF(Inputs!$D$25=1,N56,SUMIFS($D$56:N56,$D$6:N6,"&gt;"&amp;(N$6-ROUND(Inputs!$D$26,0)))/ROUND(Inputs!$D$26,0)*N7)</f>
        <v>562.952075579317</v>
      </c>
      <c r="O57" s="42" t="n">
        <f aca="false">IF(Inputs!$D$25=1,O56,SUMIFS($D$56:O56,$D$6:O6,"&gt;"&amp;(O$6-ROUND(Inputs!$D$26,0)))/ROUND(Inputs!$D$26,0)*O7)</f>
        <v>578.234199871713</v>
      </c>
      <c r="P57" s="42" t="n">
        <f aca="false">IF(Inputs!$D$25=1,P56,SUMIFS($D$56:P56,$D$6:P6,"&gt;"&amp;(P$6-ROUND(Inputs!$D$26,0)))/ROUND(Inputs!$D$26,0)*P7)</f>
        <v>108.219146744042</v>
      </c>
      <c r="Q57" s="42" t="n">
        <f aca="false">IF(Inputs!$D$25=1,Q56,SUMIFS($D$56:Q56,$D$6:Q6,"&gt;"&amp;(Q$6-ROUND(Inputs!$D$26,0)))/ROUND(Inputs!$D$26,0)*Q7)</f>
        <v>111.267009141073</v>
      </c>
      <c r="R57" s="42" t="n">
        <f aca="false">IF(Inputs!$D$25=1,R56,SUMIFS($D$56:R56,$D$6:R6,"&gt;"&amp;(R$6-ROUND(Inputs!$D$26,0)))/ROUND(Inputs!$D$26,0)*R7)</f>
        <v>793.794713754762</v>
      </c>
    </row>
    <row r="58" customFormat="false" ht="15" hidden="false" customHeight="false" outlineLevel="0" collapsed="false">
      <c r="A58" s="7" t="s">
        <v>622</v>
      </c>
      <c r="B58" s="17" t="s">
        <v>116</v>
      </c>
      <c r="D58" s="42" t="n">
        <f aca="false">IF(AND(D$6&gt;=Inputs!$D$45,D$6&lt;Inputs!$D$45+15),Inputs!$D$44/15*D7,0)</f>
        <v>0</v>
      </c>
      <c r="E58" s="42" t="n">
        <f aca="false">IF(AND(E$6&gt;=Inputs!$D$45,E$6&lt;Inputs!$D$45+15),Inputs!$D$44/15*E7,0)</f>
        <v>36.6666666666667</v>
      </c>
      <c r="F58" s="42" t="n">
        <f aca="false">IF(AND(F$6&gt;=Inputs!$D$45,F$6&lt;Inputs!$D$45+15),Inputs!$D$44/15*F7,0)</f>
        <v>36.6666666666667</v>
      </c>
      <c r="G58" s="42" t="n">
        <f aca="false">IF(AND(G$6&gt;=Inputs!$D$45,G$6&lt;Inputs!$D$45+15),Inputs!$D$44/15*G7,0)</f>
        <v>36.6666666666667</v>
      </c>
      <c r="H58" s="42" t="n">
        <f aca="false">IF(AND(H$6&gt;=Inputs!$D$45,H$6&lt;Inputs!$D$45+15),Inputs!$D$44/15*H7,0)</f>
        <v>36.6666666666667</v>
      </c>
      <c r="I58" s="42" t="n">
        <f aca="false">IF(AND(I$6&gt;=Inputs!$D$45,I$6&lt;Inputs!$D$45+15),Inputs!$D$44/15*I7,0)</f>
        <v>36.6666666666667</v>
      </c>
      <c r="J58" s="42" t="n">
        <f aca="false">IF(AND(J$6&gt;=Inputs!$D$45,J$6&lt;Inputs!$D$45+15),Inputs!$D$44/15*J7,0)</f>
        <v>36.6666666666667</v>
      </c>
      <c r="K58" s="42" t="n">
        <f aca="false">IF(AND(K$6&gt;=Inputs!$D$45,K$6&lt;Inputs!$D$45+15),Inputs!$D$44/15*K7,0)</f>
        <v>36.6666666666667</v>
      </c>
      <c r="L58" s="42" t="n">
        <f aca="false">IF(AND(L$6&gt;=Inputs!$D$45,L$6&lt;Inputs!$D$45+15),Inputs!$D$44/15*L7,0)</f>
        <v>36.6666666666667</v>
      </c>
      <c r="M58" s="42" t="n">
        <f aca="false">IF(AND(M$6&gt;=Inputs!$D$45,M$6&lt;Inputs!$D$45+15),Inputs!$D$44/15*M7,0)</f>
        <v>36.6666666666667</v>
      </c>
      <c r="N58" s="42" t="n">
        <f aca="false">IF(AND(N$6&gt;=Inputs!$D$45,N$6&lt;Inputs!$D$45+15),Inputs!$D$44/15*N7,0)</f>
        <v>36.6666666666667</v>
      </c>
      <c r="O58" s="42" t="n">
        <f aca="false">IF(AND(O$6&gt;=Inputs!$D$45,O$6&lt;Inputs!$D$45+15),Inputs!$D$44/15*O7,0)</f>
        <v>36.6666666666667</v>
      </c>
      <c r="P58" s="42" t="n">
        <f aca="false">IF(AND(P$6&gt;=Inputs!$D$45,P$6&lt;Inputs!$D$45+15),Inputs!$D$44/15*P7,0)</f>
        <v>36.6666666666667</v>
      </c>
      <c r="Q58" s="42" t="n">
        <f aca="false">IF(AND(Q$6&gt;=Inputs!$D$45,Q$6&lt;Inputs!$D$45+15),Inputs!$D$44/15*Q7,0)</f>
        <v>36.6666666666667</v>
      </c>
      <c r="R58" s="42" t="n">
        <f aca="false">IF(AND(R$6&gt;=Inputs!$D$45,R$6&lt;Inputs!$D$45+15),Inputs!$D$44/15*R7,0)</f>
        <v>36.6666666666667</v>
      </c>
    </row>
    <row r="59" customFormat="false" ht="15" hidden="false" customHeight="false" outlineLevel="0" collapsed="false">
      <c r="A59" s="7" t="s">
        <v>623</v>
      </c>
      <c r="B59" s="17" t="s">
        <v>116</v>
      </c>
      <c r="D59" s="42" t="n">
        <f aca="false">D49-D57-D58</f>
        <v>-891.21052631579</v>
      </c>
      <c r="E59" s="42" t="n">
        <f aca="false">E49-E57-E58</f>
        <v>-1716.74561403509</v>
      </c>
      <c r="F59" s="42" t="n">
        <f aca="false">F49-F57-F58</f>
        <v>-1322.21729223793</v>
      </c>
      <c r="G59" s="42" t="n">
        <f aca="false">G49-G57-G58</f>
        <v>-1084.61981648542</v>
      </c>
      <c r="H59" s="42" t="n">
        <f aca="false">H49-H57-H58</f>
        <v>-831.479100733959</v>
      </c>
      <c r="I59" s="42" t="n">
        <f aca="false">I49-I57-I58</f>
        <v>-60.1153178355086</v>
      </c>
      <c r="J59" s="42" t="n">
        <f aca="false">J49-J57-J58</f>
        <v>326.714929759199</v>
      </c>
      <c r="K59" s="42" t="n">
        <f aca="false">K49-K57-K58</f>
        <v>102.11183314389</v>
      </c>
      <c r="L59" s="42" t="n">
        <f aca="false">L49-L57-L58</f>
        <v>173.296818640991</v>
      </c>
      <c r="M59" s="42" t="n">
        <f aca="false">M49-M57-M58</f>
        <v>604.036395715595</v>
      </c>
      <c r="N59" s="42" t="n">
        <f aca="false">N49-N57-N58</f>
        <v>681.592988758461</v>
      </c>
      <c r="O59" s="42" t="n">
        <f aca="false">O49-O57-O58</f>
        <v>726.324967279885</v>
      </c>
      <c r="P59" s="42" t="n">
        <f aca="false">P49-P57-P58</f>
        <v>1243.73491977607</v>
      </c>
      <c r="Q59" s="42" t="n">
        <f aca="false">Q49-Q57-Q58</f>
        <v>1282.65895034062</v>
      </c>
      <c r="R59" s="42" t="n">
        <f aca="false">R49-R57-R58</f>
        <v>640.080992058125</v>
      </c>
    </row>
    <row r="60" customFormat="false" ht="15" hidden="false" customHeight="false" outlineLevel="0" collapsed="false">
      <c r="A60" s="7" t="s">
        <v>624</v>
      </c>
      <c r="B60" s="17" t="s">
        <v>116</v>
      </c>
      <c r="D60" s="16" t="n">
        <f aca="false">Inputs!$D$23</f>
        <v>1000</v>
      </c>
      <c r="E60" s="42" t="n">
        <f aca="false">D62</f>
        <v>1891.21052631579</v>
      </c>
      <c r="F60" s="42" t="n">
        <f aca="false">E62</f>
        <v>3607.95614035088</v>
      </c>
      <c r="G60" s="42" t="n">
        <f aca="false">F62</f>
        <v>4930.17343258881</v>
      </c>
      <c r="H60" s="42" t="n">
        <f aca="false">G62</f>
        <v>6014.79324907423</v>
      </c>
      <c r="I60" s="42" t="n">
        <f aca="false">H62</f>
        <v>6846.27234980819</v>
      </c>
      <c r="J60" s="42" t="n">
        <f aca="false">I62</f>
        <v>6906.3876676437</v>
      </c>
      <c r="K60" s="42" t="n">
        <f aca="false">J62</f>
        <v>6645.01572383634</v>
      </c>
      <c r="L60" s="42" t="n">
        <f aca="false">K62</f>
        <v>6563.32625732123</v>
      </c>
      <c r="M60" s="42" t="n">
        <f aca="false">L62</f>
        <v>6424.68880240843</v>
      </c>
      <c r="N60" s="42" t="n">
        <f aca="false">M62</f>
        <v>5941.45968583596</v>
      </c>
      <c r="O60" s="42" t="n">
        <f aca="false">N62</f>
        <v>5396.18529482919</v>
      </c>
      <c r="P60" s="42" t="n">
        <f aca="false">O62</f>
        <v>4815.12532100528</v>
      </c>
      <c r="Q60" s="42" t="n">
        <f aca="false">P62</f>
        <v>3820.13738518443</v>
      </c>
      <c r="R60" s="42" t="n">
        <f aca="false">Q62</f>
        <v>2794.01022491193</v>
      </c>
    </row>
    <row r="61" customFormat="false" ht="15" hidden="false" customHeight="false" outlineLevel="0" collapsed="false">
      <c r="A61" s="7" t="s">
        <v>625</v>
      </c>
      <c r="B61" s="17" t="s">
        <v>116</v>
      </c>
      <c r="D61" s="42" t="n">
        <f aca="false">MIN(D60,MAX(0,D59)*Inputs!$D$24)</f>
        <v>0</v>
      </c>
      <c r="E61" s="42" t="n">
        <f aca="false">MIN(E60,MAX(0,E59)*Inputs!$D$24)</f>
        <v>0</v>
      </c>
      <c r="F61" s="42" t="n">
        <f aca="false">MIN(F60,MAX(0,F59)*Inputs!$D$24)</f>
        <v>0</v>
      </c>
      <c r="G61" s="42" t="n">
        <f aca="false">MIN(G60,MAX(0,G59)*Inputs!$D$24)</f>
        <v>0</v>
      </c>
      <c r="H61" s="42" t="n">
        <f aca="false">MIN(H60,MAX(0,H59)*Inputs!$D$24)</f>
        <v>0</v>
      </c>
      <c r="I61" s="42" t="n">
        <f aca="false">MIN(I60,MAX(0,I59)*Inputs!$D$24)</f>
        <v>0</v>
      </c>
      <c r="J61" s="42" t="n">
        <f aca="false">MIN(J60,MAX(0,J59)*Inputs!$D$24)</f>
        <v>261.37194380736</v>
      </c>
      <c r="K61" s="42" t="n">
        <f aca="false">MIN(K60,MAX(0,K59)*Inputs!$D$24)</f>
        <v>81.689466515112</v>
      </c>
      <c r="L61" s="42" t="n">
        <f aca="false">MIN(L60,MAX(0,L59)*Inputs!$D$24)</f>
        <v>138.637454912793</v>
      </c>
      <c r="M61" s="42" t="n">
        <f aca="false">MIN(M60,MAX(0,M59)*Inputs!$D$24)</f>
        <v>483.229116572476</v>
      </c>
      <c r="N61" s="42" t="n">
        <f aca="false">MIN(N60,MAX(0,N59)*Inputs!$D$24)</f>
        <v>545.274391006769</v>
      </c>
      <c r="O61" s="42" t="n">
        <f aca="false">MIN(O60,MAX(0,O59)*Inputs!$D$24)</f>
        <v>581.059973823908</v>
      </c>
      <c r="P61" s="42" t="n">
        <f aca="false">MIN(P60,MAX(0,P59)*Inputs!$D$24)</f>
        <v>994.987935820854</v>
      </c>
      <c r="Q61" s="42" t="n">
        <f aca="false">MIN(Q60,MAX(0,Q59)*Inputs!$D$24)</f>
        <v>1026.1271602725</v>
      </c>
      <c r="R61" s="42" t="n">
        <f aca="false">MIN(R60,MAX(0,R59)*Inputs!$D$24)</f>
        <v>512.0647936465</v>
      </c>
    </row>
    <row r="62" customFormat="false" ht="15" hidden="false" customHeight="false" outlineLevel="0" collapsed="false">
      <c r="A62" s="7" t="s">
        <v>626</v>
      </c>
      <c r="B62" s="17" t="s">
        <v>116</v>
      </c>
      <c r="D62" s="42" t="n">
        <f aca="false">D60-D61+MAX(0,-D59)</f>
        <v>1891.21052631579</v>
      </c>
      <c r="E62" s="42" t="n">
        <f aca="false">E60-E61+MAX(0,-E59)</f>
        <v>3607.95614035088</v>
      </c>
      <c r="F62" s="42" t="n">
        <f aca="false">F60-F61+MAX(0,-F59)</f>
        <v>4930.17343258881</v>
      </c>
      <c r="G62" s="42" t="n">
        <f aca="false">G60-G61+MAX(0,-G59)</f>
        <v>6014.79324907423</v>
      </c>
      <c r="H62" s="42" t="n">
        <f aca="false">H60-H61+MAX(0,-H59)</f>
        <v>6846.27234980819</v>
      </c>
      <c r="I62" s="42" t="n">
        <f aca="false">I60-I61+MAX(0,-I59)</f>
        <v>6906.3876676437</v>
      </c>
      <c r="J62" s="42" t="n">
        <f aca="false">J60-J61+MAX(0,-J59)</f>
        <v>6645.01572383634</v>
      </c>
      <c r="K62" s="42" t="n">
        <f aca="false">K60-K61+MAX(0,-K59)</f>
        <v>6563.32625732123</v>
      </c>
      <c r="L62" s="42" t="n">
        <f aca="false">L60-L61+MAX(0,-L59)</f>
        <v>6424.68880240843</v>
      </c>
      <c r="M62" s="42" t="n">
        <f aca="false">M60-M61+MAX(0,-M59)</f>
        <v>5941.45968583596</v>
      </c>
      <c r="N62" s="42" t="n">
        <f aca="false">N60-N61+MAX(0,-N59)</f>
        <v>5396.18529482919</v>
      </c>
      <c r="O62" s="42" t="n">
        <f aca="false">O60-O61+MAX(0,-O59)</f>
        <v>4815.12532100528</v>
      </c>
      <c r="P62" s="42" t="n">
        <f aca="false">P60-P61+MAX(0,-P59)</f>
        <v>3820.13738518443</v>
      </c>
      <c r="Q62" s="42" t="n">
        <f aca="false">Q60-Q61+MAX(0,-Q59)</f>
        <v>2794.01022491193</v>
      </c>
      <c r="R62" s="42" t="n">
        <f aca="false">R60-R61+MAX(0,-R59)</f>
        <v>2281.94543126543</v>
      </c>
    </row>
    <row r="63" customFormat="false" ht="15" hidden="false" customHeight="false" outlineLevel="0" collapsed="false">
      <c r="A63" s="3" t="s">
        <v>627</v>
      </c>
      <c r="B63" s="17" t="s">
        <v>116</v>
      </c>
      <c r="D63" s="55" t="n">
        <f aca="false">Inputs!$D$22*MAX(0,D59-D61)</f>
        <v>0</v>
      </c>
      <c r="E63" s="55" t="n">
        <f aca="false">Inputs!$D$22*MAX(0,E59-E61)</f>
        <v>0</v>
      </c>
      <c r="F63" s="55" t="n">
        <f aca="false">Inputs!$D$22*MAX(0,F59-F61)</f>
        <v>0</v>
      </c>
      <c r="G63" s="55" t="n">
        <f aca="false">Inputs!$D$22*MAX(0,G59-G61)</f>
        <v>0</v>
      </c>
      <c r="H63" s="55" t="n">
        <f aca="false">Inputs!$D$22*MAX(0,H59-H61)</f>
        <v>0</v>
      </c>
      <c r="I63" s="55" t="n">
        <f aca="false">Inputs!$D$22*MAX(0,I59-I61)</f>
        <v>0</v>
      </c>
      <c r="J63" s="55" t="n">
        <f aca="false">Inputs!$D$22*MAX(0,J59-J61)</f>
        <v>16.33574648796</v>
      </c>
      <c r="K63" s="55" t="n">
        <f aca="false">Inputs!$D$22*MAX(0,K59-K61)</f>
        <v>5.1055916571945</v>
      </c>
      <c r="L63" s="55" t="n">
        <f aca="false">Inputs!$D$22*MAX(0,L59-L61)</f>
        <v>8.66484093204957</v>
      </c>
      <c r="M63" s="55" t="n">
        <f aca="false">Inputs!$D$22*MAX(0,M59-M61)</f>
        <v>30.2018197857798</v>
      </c>
      <c r="N63" s="55" t="n">
        <f aca="false">Inputs!$D$22*MAX(0,N59-N61)</f>
        <v>34.079649437923</v>
      </c>
      <c r="O63" s="55" t="n">
        <f aca="false">Inputs!$D$22*MAX(0,O59-O61)</f>
        <v>36.3162483639943</v>
      </c>
      <c r="P63" s="55" t="n">
        <f aca="false">Inputs!$D$22*MAX(0,P59-P61)</f>
        <v>62.1867459888034</v>
      </c>
      <c r="Q63" s="55" t="n">
        <f aca="false">Inputs!$D$22*MAX(0,Q59-Q61)</f>
        <v>64.1329475170312</v>
      </c>
      <c r="R63" s="55" t="n">
        <f aca="false">Inputs!$D$22*MAX(0,R59-R61)</f>
        <v>32.0040496029062</v>
      </c>
    </row>
    <row r="64" customFormat="false" ht="15" hidden="false" customHeight="false" outlineLevel="0" collapsed="false">
      <c r="A64" s="5" t="s">
        <v>628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customFormat="false" ht="15" hidden="false" customHeight="false" outlineLevel="0" collapsed="false">
      <c r="A65" s="7" t="s">
        <v>629</v>
      </c>
      <c r="B65" s="17" t="s">
        <v>116</v>
      </c>
      <c r="D65" s="42" t="n">
        <f aca="false">D37/D7</f>
        <v>240</v>
      </c>
      <c r="E65" s="42" t="n">
        <f aca="false">E37/E7</f>
        <v>170</v>
      </c>
      <c r="F65" s="42" t="n">
        <f aca="false">F37/F7</f>
        <v>308.329455773558</v>
      </c>
      <c r="G65" s="42" t="n">
        <f aca="false">G37/G7</f>
        <v>535.986789062888</v>
      </c>
      <c r="H65" s="42" t="n">
        <f aca="false">H37/H7</f>
        <v>900.417651691516</v>
      </c>
      <c r="I65" s="42" t="n">
        <f aca="false">I37/I7</f>
        <v>1366.535100373</v>
      </c>
      <c r="J65" s="42" t="n">
        <f aca="false">J37/J7</f>
        <v>1833.62679977116</v>
      </c>
      <c r="K65" s="42" t="n">
        <f aca="false">K37/K7</f>
        <v>2255.60930950805</v>
      </c>
      <c r="L65" s="42" t="n">
        <f aca="false">L37/L7</f>
        <v>2554.3404008351</v>
      </c>
      <c r="M65" s="42" t="n">
        <f aca="false">M37/M7</f>
        <v>2754.05561677691</v>
      </c>
      <c r="N65" s="42" t="n">
        <f aca="false">N37/N7</f>
        <v>2892.61439689567</v>
      </c>
      <c r="O65" s="42" t="n">
        <f aca="false">O37/O7</f>
        <v>2999.45325404415</v>
      </c>
      <c r="P65" s="42" t="n">
        <f aca="false">P37/P7</f>
        <v>3091.97562125835</v>
      </c>
      <c r="Q65" s="42" t="n">
        <f aca="false">Q37/Q7</f>
        <v>3179.05740403066</v>
      </c>
      <c r="R65" s="42" t="n">
        <f aca="false">R37/R7</f>
        <v>3264.91255424965</v>
      </c>
    </row>
    <row r="66" customFormat="false" ht="15" hidden="false" customHeight="false" outlineLevel="0" collapsed="false">
      <c r="A66" s="7" t="s">
        <v>630</v>
      </c>
      <c r="B66" s="17" t="s">
        <v>116</v>
      </c>
      <c r="D66" s="42" t="n">
        <f aca="false">Inputs!$D$42*(D65-Inputs!$D$43)</f>
        <v>7.3745</v>
      </c>
      <c r="E66" s="42" t="n">
        <f aca="false">Inputs!$D$42*(E65-D65)</f>
        <v>-3.5</v>
      </c>
      <c r="F66" s="42" t="n">
        <f aca="false">Inputs!$D$42*(F65-E65)</f>
        <v>6.9164727886779</v>
      </c>
      <c r="G66" s="42" t="n">
        <f aca="false">Inputs!$D$42*(G65-F65)</f>
        <v>11.3828666644665</v>
      </c>
      <c r="H66" s="42" t="n">
        <f aca="false">Inputs!$D$42*(H65-G65)</f>
        <v>18.2215431314314</v>
      </c>
      <c r="I66" s="42" t="n">
        <f aca="false">Inputs!$D$42*(I65-H65)</f>
        <v>23.305872434074</v>
      </c>
      <c r="J66" s="42" t="n">
        <f aca="false">Inputs!$D$42*(J65-I65)</f>
        <v>23.3545849699082</v>
      </c>
      <c r="K66" s="42" t="n">
        <f aca="false">Inputs!$D$42*(K65-J65)</f>
        <v>21.0991254868445</v>
      </c>
      <c r="L66" s="42" t="n">
        <f aca="false">Inputs!$D$42*(L65-K65)</f>
        <v>14.9365545663527</v>
      </c>
      <c r="M66" s="42" t="n">
        <f aca="false">Inputs!$D$42*(M65-L65)</f>
        <v>9.98576079709046</v>
      </c>
      <c r="N66" s="42" t="n">
        <f aca="false">Inputs!$D$42*(N65-M65)</f>
        <v>6.92793900593779</v>
      </c>
      <c r="O66" s="42" t="n">
        <f aca="false">Inputs!$D$42*(O65-N65)</f>
        <v>5.3419428574239</v>
      </c>
      <c r="P66" s="42" t="n">
        <f aca="false">Inputs!$D$42*(P65-O65)</f>
        <v>4.62611836071028</v>
      </c>
      <c r="Q66" s="42" t="n">
        <f aca="false">Inputs!$D$42*(Q65-P65)</f>
        <v>4.35408913861545</v>
      </c>
      <c r="R66" s="42" t="n">
        <f aca="false">Inputs!$D$42*(R65-Q65)</f>
        <v>4.29275751094924</v>
      </c>
    </row>
    <row r="67" customFormat="false" ht="15" hidden="false" customHeight="false" outlineLevel="0" collapsed="false">
      <c r="A67" s="7" t="s">
        <v>631</v>
      </c>
      <c r="B67" s="17" t="s">
        <v>116</v>
      </c>
      <c r="D67" s="42" t="n">
        <f aca="false">IF(AND(D$6&gt;=Inputs!$D$40,D$6&lt;Inputs!$D$40+Inputs!$D$41),Inputs!$D$39/Inputs!$D$41*D7,0)</f>
        <v>0</v>
      </c>
      <c r="E67" s="42" t="n">
        <f aca="false">IF(AND(E$6&gt;=Inputs!$D$40,E$6&lt;Inputs!$D$40+Inputs!$D$41),Inputs!$D$39/Inputs!$D$41*E7,0)</f>
        <v>53.3866</v>
      </c>
      <c r="F67" s="42" t="n">
        <f aca="false">IF(AND(F$6&gt;=Inputs!$D$40,F$6&lt;Inputs!$D$40+Inputs!$D$41),Inputs!$D$39/Inputs!$D$41*F7,0)</f>
        <v>53.3866</v>
      </c>
      <c r="G67" s="42" t="n">
        <f aca="false">IF(AND(G$6&gt;=Inputs!$D$40,G$6&lt;Inputs!$D$40+Inputs!$D$41),Inputs!$D$39/Inputs!$D$41*G7,0)</f>
        <v>53.3866</v>
      </c>
      <c r="H67" s="42" t="n">
        <f aca="false">IF(AND(H$6&gt;=Inputs!$D$40,H$6&lt;Inputs!$D$40+Inputs!$D$41),Inputs!$D$39/Inputs!$D$41*H7,0)</f>
        <v>53.3866</v>
      </c>
      <c r="I67" s="42" t="n">
        <f aca="false">IF(AND(I$6&gt;=Inputs!$D$40,I$6&lt;Inputs!$D$40+Inputs!$D$41),Inputs!$D$39/Inputs!$D$41*I7,0)</f>
        <v>53.3866</v>
      </c>
      <c r="J67" s="42" t="n">
        <f aca="false">IF(AND(J$6&gt;=Inputs!$D$40,J$6&lt;Inputs!$D$40+Inputs!$D$41),Inputs!$D$39/Inputs!$D$41*J7,0)</f>
        <v>0</v>
      </c>
      <c r="K67" s="42" t="n">
        <f aca="false">IF(AND(K$6&gt;=Inputs!$D$40,K$6&lt;Inputs!$D$40+Inputs!$D$41),Inputs!$D$39/Inputs!$D$41*K7,0)</f>
        <v>0</v>
      </c>
      <c r="L67" s="42" t="n">
        <f aca="false">IF(AND(L$6&gt;=Inputs!$D$40,L$6&lt;Inputs!$D$40+Inputs!$D$41),Inputs!$D$39/Inputs!$D$41*L7,0)</f>
        <v>0</v>
      </c>
      <c r="M67" s="42" t="n">
        <f aca="false">IF(AND(M$6&gt;=Inputs!$D$40,M$6&lt;Inputs!$D$40+Inputs!$D$41),Inputs!$D$39/Inputs!$D$41*M7,0)</f>
        <v>0</v>
      </c>
      <c r="N67" s="42" t="n">
        <f aca="false">IF(AND(N$6&gt;=Inputs!$D$40,N$6&lt;Inputs!$D$40+Inputs!$D$41),Inputs!$D$39/Inputs!$D$41*N7,0)</f>
        <v>0</v>
      </c>
      <c r="O67" s="42" t="n">
        <f aca="false">IF(AND(O$6&gt;=Inputs!$D$40,O$6&lt;Inputs!$D$40+Inputs!$D$41),Inputs!$D$39/Inputs!$D$41*O7,0)</f>
        <v>0</v>
      </c>
      <c r="P67" s="42" t="n">
        <f aca="false">IF(AND(P$6&gt;=Inputs!$D$40,P$6&lt;Inputs!$D$40+Inputs!$D$41),Inputs!$D$39/Inputs!$D$41*P7,0)</f>
        <v>0</v>
      </c>
      <c r="Q67" s="42" t="n">
        <f aca="false">IF(AND(Q$6&gt;=Inputs!$D$40,Q$6&lt;Inputs!$D$40+Inputs!$D$41),Inputs!$D$39/Inputs!$D$41*Q7,0)</f>
        <v>0</v>
      </c>
      <c r="R67" s="42" t="n">
        <f aca="false">IF(AND(R$6&gt;=Inputs!$D$40,R$6&lt;Inputs!$D$40+Inputs!$D$41),Inputs!$D$39/Inputs!$D$41*R7,0)</f>
        <v>0</v>
      </c>
    </row>
    <row r="68" customFormat="false" ht="15" hidden="false" customHeight="false" outlineLevel="0" collapsed="false">
      <c r="A68" s="3" t="s">
        <v>632</v>
      </c>
      <c r="B68" s="17" t="s">
        <v>116</v>
      </c>
      <c r="D68" s="55" t="n">
        <f aca="false">D49-D63-D22-D52-D53+D54-D66-D67</f>
        <v>-494.3745</v>
      </c>
      <c r="E68" s="55" t="n">
        <f aca="false">E49-E63-E22-E52-E53+E54-E66-E67</f>
        <v>-1908.33782368421</v>
      </c>
      <c r="F68" s="55" t="n">
        <f aca="false">F49-F63-F22-F52-F53+F54-F66-F67</f>
        <v>-1345.85369835994</v>
      </c>
      <c r="G68" s="55" t="n">
        <f aca="false">G49-G63-G22-G52-G53+G54-G66-G67</f>
        <v>-1112.72261648322</v>
      </c>
      <c r="H68" s="55" t="n">
        <f aca="false">H49-H63-H22-H52-H53+H54-H66-H67</f>
        <v>-866.420577198724</v>
      </c>
      <c r="I68" s="55" t="n">
        <f aca="false">I49-I63-I22-I52-I53+I54-I66-I67</f>
        <v>-100.141123602916</v>
      </c>
      <c r="J68" s="55" t="n">
        <f aca="false">J49-J63-J22-J52-J53+J54-J66-J67</f>
        <v>323.691264967998</v>
      </c>
      <c r="K68" s="55" t="n">
        <f aca="false">K49-K63-K22-K52-K53+K54-K66-K67</f>
        <v>112.573782666518</v>
      </c>
      <c r="L68" s="55" t="n">
        <f aca="false">L49-L63-L22-L52-L53+L54-L66-L67</f>
        <v>186.362089809256</v>
      </c>
      <c r="M68" s="55" t="n">
        <f aca="false">M49-M63-M22-M52-M53+M54-M66-M67</f>
        <v>600.515481799392</v>
      </c>
      <c r="N68" s="55" t="n">
        <f aca="false">N49-N63-N22-N52-N53+N54-N66-N67</f>
        <v>677.252066981266</v>
      </c>
      <c r="O68" s="55" t="n">
        <f aca="false">O49-O63-O22-O52-O53+O54-O66-O67</f>
        <v>721.333442725134</v>
      </c>
      <c r="P68" s="55" t="n">
        <f aca="false">P49-P63-P22-P52-P53+P54-P66-P67</f>
        <v>1213.58872209322</v>
      </c>
      <c r="Q68" s="55" t="n">
        <f aca="false">Q49-Q63-Q22-Q52-Q53+Q54-Q66-Q67</f>
        <v>1250.83858035164</v>
      </c>
      <c r="R68" s="55" t="n">
        <f aca="false">R49-R63-R22-R52-R53+R54-R66-R67</f>
        <v>640.450851610936</v>
      </c>
    </row>
    <row r="69" customFormat="false" ht="15" hidden="false" customHeight="false" outlineLevel="0" collapsed="false">
      <c r="A69" s="7" t="s">
        <v>633</v>
      </c>
      <c r="B69" s="17" t="s">
        <v>116</v>
      </c>
      <c r="D69" s="42" t="n">
        <f aca="false">SUM($D$68:D68)</f>
        <v>-494.3745</v>
      </c>
      <c r="E69" s="42" t="n">
        <f aca="false">SUM($D$68:E68)</f>
        <v>-2402.71232368421</v>
      </c>
      <c r="F69" s="42" t="n">
        <f aca="false">SUM($D$68:F68)</f>
        <v>-3748.56602204415</v>
      </c>
      <c r="G69" s="42" t="n">
        <f aca="false">SUM($D$68:G68)</f>
        <v>-4861.28863852737</v>
      </c>
      <c r="H69" s="42" t="n">
        <f aca="false">SUM($D$68:H68)</f>
        <v>-5727.7092157261</v>
      </c>
      <c r="I69" s="42" t="n">
        <f aca="false">SUM($D$68:I68)</f>
        <v>-5827.85033932901</v>
      </c>
      <c r="J69" s="42" t="n">
        <f aca="false">SUM($D$68:J68)</f>
        <v>-5504.15907436102</v>
      </c>
      <c r="K69" s="42" t="n">
        <f aca="false">SUM($D$68:K68)</f>
        <v>-5391.5852916945</v>
      </c>
      <c r="L69" s="42" t="n">
        <f aca="false">SUM($D$68:L68)</f>
        <v>-5205.22320188524</v>
      </c>
      <c r="M69" s="42" t="n">
        <f aca="false">SUM($D$68:M68)</f>
        <v>-4604.70772008585</v>
      </c>
      <c r="N69" s="42" t="n">
        <f aca="false">SUM($D$68:N68)</f>
        <v>-3927.45565310458</v>
      </c>
      <c r="O69" s="42" t="n">
        <f aca="false">SUM($D$68:O68)</f>
        <v>-3206.12221037945</v>
      </c>
      <c r="P69" s="42" t="n">
        <f aca="false">SUM($D$68:P68)</f>
        <v>-1992.53348828623</v>
      </c>
      <c r="Q69" s="42" t="n">
        <f aca="false">SUM($D$68:Q68)</f>
        <v>-741.694907934585</v>
      </c>
      <c r="R69" s="42" t="n">
        <f aca="false">SUM($D$68:R68)</f>
        <v>-101.244056323649</v>
      </c>
    </row>
    <row r="70" customFormat="false" ht="15" hidden="false" customHeight="false" outlineLevel="0" collapsed="false">
      <c r="A70" s="5" t="s">
        <v>634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customFormat="false" ht="15" hidden="false" customHeight="false" outlineLevel="0" collapsed="false">
      <c r="A71" s="7" t="s">
        <v>635</v>
      </c>
      <c r="B71" s="17" t="s">
        <v>68</v>
      </c>
      <c r="D71" s="23" t="n">
        <f aca="false">WACC!D$21</f>
        <v>0.103496717614723</v>
      </c>
      <c r="E71" s="23" t="n">
        <f aca="false">WACC!E$21</f>
        <v>0.103496717614723</v>
      </c>
      <c r="F71" s="23" t="n">
        <f aca="false">WACC!F$21</f>
        <v>0.103496717614723</v>
      </c>
      <c r="G71" s="23" t="n">
        <f aca="false">WACC!G$21</f>
        <v>0.103496717614723</v>
      </c>
      <c r="H71" s="23" t="n">
        <f aca="false">WACC!H$21</f>
        <v>0.103496717614723</v>
      </c>
      <c r="I71" s="23" t="n">
        <f aca="false">WACC!I$21</f>
        <v>0.0993123740917783</v>
      </c>
      <c r="J71" s="23" t="n">
        <f aca="false">WACC!J$21</f>
        <v>0.0951280305688338</v>
      </c>
      <c r="K71" s="23" t="n">
        <f aca="false">WACC!K$21</f>
        <v>0.0909436870458892</v>
      </c>
      <c r="L71" s="23" t="n">
        <f aca="false">WACC!L$21</f>
        <v>0.0867593435229446</v>
      </c>
      <c r="M71" s="23" t="n">
        <f aca="false">WACC!M$21</f>
        <v>0.082575</v>
      </c>
      <c r="N71" s="23" t="n">
        <f aca="false">WACC!N$21</f>
        <v>0.082575</v>
      </c>
      <c r="O71" s="23" t="n">
        <f aca="false">WACC!O$21</f>
        <v>0.082575</v>
      </c>
      <c r="P71" s="23" t="n">
        <f aca="false">WACC!P$21</f>
        <v>0.082575</v>
      </c>
      <c r="Q71" s="23" t="n">
        <f aca="false">WACC!Q$21</f>
        <v>0.082575</v>
      </c>
      <c r="R71" s="23" t="n">
        <f aca="false">WACC!R$21</f>
        <v>0.082575</v>
      </c>
    </row>
    <row r="72" customFormat="false" ht="15" hidden="false" customHeight="false" outlineLevel="0" collapsed="false">
      <c r="A72" s="7" t="s">
        <v>636</v>
      </c>
      <c r="B72" s="17" t="s">
        <v>637</v>
      </c>
      <c r="D72" s="45" t="n">
        <f aca="false">(1+D71)^(D8+D7-Inputs!$D$6)</f>
        <v>1.03100085196045</v>
      </c>
      <c r="E72" s="45" t="n">
        <f aca="false">D72*(1+E71)^E7</f>
        <v>1.13770605599634</v>
      </c>
      <c r="F72" s="45" t="n">
        <f aca="false">E72*(1+F71)^F7</f>
        <v>1.25545489840236</v>
      </c>
      <c r="G72" s="45" t="n">
        <f aca="false">F72*(1+G71)^G7</f>
        <v>1.38539035950032</v>
      </c>
      <c r="H72" s="45" t="n">
        <f aca="false">G72*(1+H71)^H7</f>
        <v>1.52877371432369</v>
      </c>
      <c r="I72" s="45" t="n">
        <f aca="false">H72*(1+I71)^I7</f>
        <v>1.68059986134228</v>
      </c>
      <c r="J72" s="45" t="n">
        <f aca="false">I72*(1+J71)^J7</f>
        <v>1.84047201632603</v>
      </c>
      <c r="K72" s="45" t="n">
        <f aca="false">J72*(1+K71)^K7</f>
        <v>2.0078513273955</v>
      </c>
      <c r="L72" s="45" t="n">
        <f aca="false">K72*(1+L71)^L7</f>
        <v>2.182051190452</v>
      </c>
      <c r="M72" s="45" t="n">
        <f aca="false">L72*(1+M71)^M7</f>
        <v>2.36223406750358</v>
      </c>
      <c r="N72" s="45" t="n">
        <f aca="false">M72*(1+N71)^N7</f>
        <v>2.55729554562769</v>
      </c>
      <c r="O72" s="45" t="n">
        <f aca="false">N72*(1+O71)^O7</f>
        <v>2.76846422530789</v>
      </c>
      <c r="P72" s="45" t="n">
        <f aca="false">O72*(1+P71)^P7</f>
        <v>2.99707015871269</v>
      </c>
      <c r="Q72" s="45" t="n">
        <f aca="false">P72*(1+Q71)^Q7</f>
        <v>3.24455322706839</v>
      </c>
      <c r="R72" s="45" t="n">
        <f aca="false">Q72*(1+R71)^R7</f>
        <v>3.51247220979357</v>
      </c>
    </row>
    <row r="73" customFormat="false" ht="15" hidden="false" customHeight="false" outlineLevel="0" collapsed="false">
      <c r="A73" s="7" t="s">
        <v>638</v>
      </c>
      <c r="B73" s="17" t="s">
        <v>637</v>
      </c>
      <c r="D73" s="45" t="n">
        <f aca="false">1/(1+D71)^(D9-Inputs!$D$6)</f>
        <v>0.994108385699078</v>
      </c>
      <c r="E73" s="45" t="n">
        <f aca="false">1/(D72*(1+E71)^(E7/2))</f>
        <v>0.923326824776453</v>
      </c>
      <c r="F73" s="45" t="n">
        <f aca="false">1/(E72*(1+F71)^(F7/2))</f>
        <v>0.836728202302478</v>
      </c>
      <c r="G73" s="45" t="n">
        <f aca="false">1/(F72*(1+G71)^(G7/2))</f>
        <v>0.75825164583282</v>
      </c>
      <c r="H73" s="45" t="n">
        <f aca="false">1/(G72*(1+H71)^(H7/2))</f>
        <v>0.687135388559948</v>
      </c>
      <c r="I73" s="45" t="n">
        <f aca="false">1/(H72*(1+I71)^(I7/2))</f>
        <v>0.623873063572163</v>
      </c>
      <c r="J73" s="45" t="n">
        <f aca="false">1/(I72*(1+J71)^(J7/2))</f>
        <v>0.568595252263519</v>
      </c>
      <c r="K73" s="45" t="n">
        <f aca="false">1/(J72*(1+K71)^(K7/2))</f>
        <v>0.520199121813138</v>
      </c>
      <c r="L73" s="45" t="n">
        <f aca="false">1/(K72*(1+L71)^(L7/2))</f>
        <v>0.477751166978813</v>
      </c>
      <c r="M73" s="45" t="n">
        <f aca="false">1/(L72*(1+M71)^(M7/2))</f>
        <v>0.440459588117527</v>
      </c>
      <c r="N73" s="45" t="n">
        <f aca="false">1/(M72*(1+N71)^(N7/2))</f>
        <v>0.406862885359007</v>
      </c>
      <c r="O73" s="45" t="n">
        <f aca="false">1/(N72*(1+O71)^(O7/2))</f>
        <v>0.375828820505745</v>
      </c>
      <c r="P73" s="45" t="n">
        <f aca="false">1/(O72*(1+P71)^(P7/2))</f>
        <v>0.34716192458328</v>
      </c>
      <c r="Q73" s="45" t="n">
        <f aca="false">1/(P72*(1+Q71)^(Q7/2))</f>
        <v>0.320681638300608</v>
      </c>
      <c r="R73" s="45" t="n">
        <f aca="false">1/(Q72*(1+R71)^(R7/2))</f>
        <v>0.296221174792146</v>
      </c>
    </row>
    <row r="74" customFormat="false" ht="15" hidden="false" customHeight="false" outlineLevel="0" collapsed="false">
      <c r="A74" s="3" t="s">
        <v>639</v>
      </c>
      <c r="B74" s="17" t="s">
        <v>116</v>
      </c>
      <c r="D74" s="55" t="n">
        <f aca="false">D68*D73</f>
        <v>-491.461836125789</v>
      </c>
      <c r="E74" s="55" t="n">
        <f aca="false">E68*E73</f>
        <v>-1762.01950334315</v>
      </c>
      <c r="F74" s="55" t="n">
        <f aca="false">F68*F73</f>
        <v>-1126.11374559086</v>
      </c>
      <c r="G74" s="55" t="n">
        <f aca="false">G68*G73</f>
        <v>-843.723755303804</v>
      </c>
      <c r="H74" s="55" t="n">
        <f aca="false">H68*H73</f>
        <v>-595.34823996978</v>
      </c>
      <c r="I74" s="55" t="n">
        <f aca="false">I68*I73</f>
        <v>-62.4753495717098</v>
      </c>
      <c r="J74" s="55" t="n">
        <f aca="false">J68*J73</f>
        <v>184.049316459976</v>
      </c>
      <c r="K74" s="55" t="n">
        <f aca="false">K68*K73</f>
        <v>58.5607828823055</v>
      </c>
      <c r="L74" s="55" t="n">
        <f aca="false">L68*L73</f>
        <v>89.0347058869823</v>
      </c>
      <c r="M74" s="55" t="n">
        <f aca="false">M68*M73</f>
        <v>264.502801771558</v>
      </c>
      <c r="N74" s="55" t="n">
        <f aca="false">N68*N73</f>
        <v>275.548730087349</v>
      </c>
      <c r="O74" s="55" t="n">
        <f aca="false">O68*O73</f>
        <v>271.097896970735</v>
      </c>
      <c r="P74" s="55" t="n">
        <f aca="false">P68*P73</f>
        <v>421.311796414446</v>
      </c>
      <c r="Q74" s="55" t="n">
        <f aca="false">Q68*Q73</f>
        <v>401.120965196772</v>
      </c>
      <c r="R74" s="55" t="n">
        <f aca="false">R68*R73</f>
        <v>189.715103660822</v>
      </c>
    </row>
    <row r="75" customFormat="false" ht="15" hidden="false" customHeight="false" outlineLevel="0" collapsed="false">
      <c r="A75" s="5" t="s">
        <v>640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customFormat="false" ht="15" hidden="false" customHeight="false" outlineLevel="0" collapsed="false">
      <c r="A76" s="7" t="s">
        <v>641</v>
      </c>
      <c r="C76" s="48" t="n">
        <f aca="false">WACC!$C$16</f>
        <v>0.082575</v>
      </c>
    </row>
    <row r="77" customFormat="false" ht="15" hidden="false" customHeight="false" outlineLevel="0" collapsed="false">
      <c r="A77" s="7" t="s">
        <v>642</v>
      </c>
      <c r="C77" s="48" t="n">
        <f aca="false">Inputs!$D$20</f>
        <v>0.025</v>
      </c>
    </row>
    <row r="78" customFormat="false" ht="15" hidden="false" customHeight="false" outlineLevel="0" collapsed="false">
      <c r="A78" s="7" t="s">
        <v>643</v>
      </c>
      <c r="C78" s="42" t="n">
        <f aca="false">R49*(1+C77)</f>
        <v>1507.30593179154</v>
      </c>
    </row>
    <row r="79" customFormat="false" ht="15" hidden="false" customHeight="false" outlineLevel="0" collapsed="false">
      <c r="A79" s="7" t="s">
        <v>644</v>
      </c>
      <c r="C79" s="42" t="n">
        <f aca="false">Inputs!$E$63/ROUND(Inputs!$D$26,0)/(1-Inputs!$D$27)*R18*(1+C77)</f>
        <v>447.756970959594</v>
      </c>
    </row>
    <row r="80" customFormat="false" ht="15" hidden="false" customHeight="false" outlineLevel="0" collapsed="false">
      <c r="A80" s="7" t="s">
        <v>645</v>
      </c>
      <c r="C80" s="42" t="n">
        <f aca="false">R52*(1+C77)</f>
        <v>117.128737883706</v>
      </c>
    </row>
    <row r="81" customFormat="false" ht="15" hidden="false" customHeight="false" outlineLevel="0" collapsed="false">
      <c r="A81" s="7" t="s">
        <v>646</v>
      </c>
      <c r="C81" s="42" t="n">
        <f aca="false">Inputs!$D$22*MAX(0,C78-C79-C80)</f>
        <v>235.60505573706</v>
      </c>
    </row>
    <row r="82" customFormat="false" ht="15" hidden="false" customHeight="false" outlineLevel="0" collapsed="false">
      <c r="A82" s="7" t="s">
        <v>647</v>
      </c>
      <c r="C82" s="42" t="n">
        <f aca="false">Inputs!$D$42*R37*C77</f>
        <v>4.08114069281206</v>
      </c>
    </row>
    <row r="83" customFormat="false" ht="15" hidden="false" customHeight="false" outlineLevel="0" collapsed="false">
      <c r="A83" s="3" t="s">
        <v>648</v>
      </c>
      <c r="C83" s="43" t="n">
        <f aca="false">C78-C81-C79-C80-C82</f>
        <v>702.734026518369</v>
      </c>
    </row>
    <row r="84" customFormat="false" ht="15" hidden="false" customHeight="false" outlineLevel="0" collapsed="false">
      <c r="A84" s="7" t="s">
        <v>649</v>
      </c>
      <c r="C84" s="42" t="n">
        <f aca="false">C83*(1+C76)^0.5/(C76-C77)</f>
        <v>12699.4827607854</v>
      </c>
    </row>
    <row r="85" customFormat="false" ht="15" hidden="false" customHeight="false" outlineLevel="0" collapsed="false">
      <c r="A85" s="7" t="s">
        <v>650</v>
      </c>
      <c r="C85" s="42" t="n">
        <f aca="false">C84/R72</f>
        <v>3615.53971170971</v>
      </c>
    </row>
    <row r="86" customFormat="false" ht="15" hidden="false" customHeight="false" outlineLevel="0" collapsed="false">
      <c r="A86" s="7" t="s">
        <v>651</v>
      </c>
      <c r="C86" s="42" t="n">
        <f aca="false">SUM(D74:R74)</f>
        <v>-2726.20033057414</v>
      </c>
    </row>
    <row r="87" customFormat="false" ht="15" hidden="false" customHeight="false" outlineLevel="0" collapsed="false">
      <c r="A87" s="3" t="s">
        <v>652</v>
      </c>
      <c r="C87" s="43" t="n">
        <f aca="false">C86+C85</f>
        <v>889.339381135567</v>
      </c>
    </row>
    <row r="88" customFormat="false" ht="15" hidden="false" customHeight="false" outlineLevel="0" collapsed="false">
      <c r="A88" s="7" t="s">
        <v>38</v>
      </c>
      <c r="C88" s="41" t="n">
        <f aca="false">IF(C87&lt;=0,0,C85/C87)</f>
        <v>4.06542180454569</v>
      </c>
    </row>
    <row r="89" customFormat="false" ht="15" hidden="false" customHeight="false" outlineLevel="0" collapsed="false">
      <c r="A89" s="7" t="s">
        <v>653</v>
      </c>
      <c r="C89" s="24" t="n">
        <f aca="false">IF(C78&lt;=0,"n/m",C84/C78)</f>
        <v>8.42528546656162</v>
      </c>
    </row>
    <row r="90" customFormat="false" ht="15" hidden="false" customHeight="false" outlineLevel="0" collapsed="false">
      <c r="A90" s="5" t="s">
        <v>654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customFormat="false" ht="15" hidden="false" customHeight="false" outlineLevel="0" collapsed="false">
      <c r="A91" s="7" t="s">
        <v>655</v>
      </c>
      <c r="C91" s="42" t="n">
        <f aca="false">Capital_Structure!$D$20</f>
        <v>3755.203</v>
      </c>
    </row>
    <row r="92" customFormat="false" ht="15" hidden="false" customHeight="false" outlineLevel="0" collapsed="false">
      <c r="A92" s="7" t="s">
        <v>656</v>
      </c>
      <c r="C92" s="42" t="n">
        <f aca="false">Capital_Structure!$B$26</f>
        <v>468.638</v>
      </c>
    </row>
    <row r="93" customFormat="false" ht="15" hidden="false" customHeight="false" outlineLevel="0" collapsed="false">
      <c r="A93" s="7" t="s">
        <v>657</v>
      </c>
      <c r="C93" s="42" t="n">
        <f aca="false">Capital_Structure!$B$35</f>
        <v>3703.514</v>
      </c>
    </row>
    <row r="94" customFormat="false" ht="15" hidden="false" customHeight="false" outlineLevel="0" collapsed="false">
      <c r="A94" s="3" t="s">
        <v>658</v>
      </c>
      <c r="C94" s="43" t="n">
        <f aca="false">C87+C91-C92-C93</f>
        <v>472.390381135567</v>
      </c>
    </row>
    <row r="95" customFormat="false" ht="15" hidden="false" customHeight="false" outlineLevel="0" collapsed="false">
      <c r="A95" s="7" t="s">
        <v>659</v>
      </c>
      <c r="C95" s="42" t="n">
        <f aca="false">Capital_Structure!$B$9</f>
        <v>389.167494</v>
      </c>
    </row>
    <row r="96" customFormat="false" ht="15" hidden="false" customHeight="false" outlineLevel="0" collapsed="false">
      <c r="A96" s="3" t="s">
        <v>396</v>
      </c>
      <c r="B96" s="3" t="s">
        <v>367</v>
      </c>
      <c r="C96" s="3" t="s">
        <v>366</v>
      </c>
      <c r="D96" s="3" t="s">
        <v>660</v>
      </c>
      <c r="E96" s="3" t="s">
        <v>661</v>
      </c>
      <c r="F96" s="3" t="s">
        <v>662</v>
      </c>
      <c r="H96" s="17" t="s">
        <v>663</v>
      </c>
    </row>
    <row r="97" customFormat="false" ht="15" hidden="false" customHeight="false" outlineLevel="0" collapsed="false">
      <c r="A97" s="47" t="str">
        <f aca="false">Capital_Structure!A48</f>
        <v>2032 4.25% converts</v>
      </c>
      <c r="B97" s="15" t="n">
        <f aca="false">Capital_Structure!B48</f>
        <v>26.99</v>
      </c>
      <c r="C97" s="22" t="n">
        <f aca="false">Capital_Structure!C48</f>
        <v>0.130196369025565</v>
      </c>
      <c r="D97" s="16" t="n">
        <f aca="false">Capital_Structure!D48</f>
        <v>3.514</v>
      </c>
      <c r="E97" s="57" t="n">
        <f aca="false">($C$94+SUMIF($B$97:$B$106,"&lt;="&amp;B97,$D$97:$D$106))/($C$95+SUMIF($B$97:$B$106,"&lt;="&amp;B97,$C$97:$C$106))</f>
        <v>1.23822549167107</v>
      </c>
      <c r="F97" s="58" t="n">
        <f aca="false">IF(E97&gt;B97,1,0)</f>
        <v>0</v>
      </c>
    </row>
    <row r="98" customFormat="false" ht="15" hidden="false" customHeight="false" outlineLevel="0" collapsed="false">
      <c r="A98" s="47" t="str">
        <f aca="false">Capital_Structure!A49</f>
        <v>2032 2.375% converts</v>
      </c>
      <c r="B98" s="15" t="n">
        <f aca="false">Capital_Structure!B49</f>
        <v>72.07</v>
      </c>
      <c r="C98" s="22" t="n">
        <f aca="false">Capital_Structure!C49</f>
        <v>4.50950464825864</v>
      </c>
      <c r="D98" s="16" t="n">
        <f aca="false">Capital_Structure!D49</f>
        <v>325</v>
      </c>
      <c r="E98" s="57" t="n">
        <f aca="false">($C$94+SUMIF($B$97:$B$106,"&lt;="&amp;B98,$D$97:$D$106))/($C$95+SUMIF($B$97:$B$106,"&lt;="&amp;B98,$C$97:$C$106))</f>
        <v>2.01948500766989</v>
      </c>
      <c r="F98" s="58" t="n">
        <f aca="false">IF(E98&gt;B98,1,0)</f>
        <v>0</v>
      </c>
    </row>
    <row r="99" customFormat="false" ht="15" hidden="false" customHeight="false" outlineLevel="0" collapsed="false">
      <c r="A99" s="47" t="str">
        <f aca="false">Capital_Structure!A50</f>
        <v>2036 2.00% converts</v>
      </c>
      <c r="B99" s="15" t="n">
        <f aca="false">Capital_Structure!B50</f>
        <v>96.3</v>
      </c>
      <c r="C99" s="22" t="n">
        <f aca="false">Capital_Structure!C50</f>
        <v>11.9418483904465</v>
      </c>
      <c r="D99" s="16" t="n">
        <f aca="false">Capital_Structure!D50</f>
        <v>1150</v>
      </c>
      <c r="E99" s="57" t="n">
        <f aca="false">($C$94+SUMIF($B$97:$B$106,"&lt;="&amp;B99,$D$97:$D$106))/($C$95+SUMIF($B$97:$B$106,"&lt;="&amp;B99,$C$97:$C$106))</f>
        <v>4.69512991008564</v>
      </c>
      <c r="F99" s="58" t="n">
        <f aca="false">IF(E99&gt;B99,1,0)</f>
        <v>0</v>
      </c>
    </row>
    <row r="100" customFormat="false" ht="15" hidden="false" customHeight="false" outlineLevel="0" collapsed="false">
      <c r="A100" s="47" t="str">
        <f aca="false">Capital_Structure!A51</f>
        <v>2036 2.25% converts</v>
      </c>
      <c r="B100" s="15" t="n">
        <f aca="false">Capital_Structure!B51</f>
        <v>116.3</v>
      </c>
      <c r="C100" s="22" t="n">
        <f aca="false">Capital_Structure!C51</f>
        <v>9.24333619948409</v>
      </c>
      <c r="D100" s="16" t="n">
        <f aca="false">Capital_Structure!D51</f>
        <v>1075</v>
      </c>
      <c r="E100" s="57" t="n">
        <f aca="false">($C$94+SUMIF($B$97:$B$106,"&lt;="&amp;B100,$D$97:$D$106))/($C$95+SUMIF($B$97:$B$106,"&lt;="&amp;B100,$C$97:$C$106))</f>
        <v>7.09401889730488</v>
      </c>
      <c r="F100" s="58" t="n">
        <f aca="false">IF(E100&gt;B100,1,0)</f>
        <v>0</v>
      </c>
    </row>
    <row r="101" customFormat="false" ht="15" hidden="false" customHeight="false" outlineLevel="0" collapsed="false">
      <c r="A101" s="47" t="str">
        <f aca="false">Capital_Structure!A52</f>
        <v>2034 1.625% converts (Jul-2026)</v>
      </c>
      <c r="B101" s="15" t="n">
        <f aca="false">Capital_Structure!B52</f>
        <v>149.2</v>
      </c>
      <c r="C101" s="22" t="n">
        <f aca="false">Capital_Structure!C52</f>
        <v>14.4526831720498</v>
      </c>
      <c r="D101" s="16" t="n">
        <f aca="false">Capital_Structure!D52</f>
        <v>2156.34032926983</v>
      </c>
      <c r="E101" s="57" t="n">
        <f aca="false">($C$94+SUMIF($B$97:$B$106,"&lt;="&amp;B101,$D$97:$D$106))/($C$95+SUMIF($B$97:$B$106,"&lt;="&amp;B101,$C$97:$C$106))</f>
        <v>11.7146691834361</v>
      </c>
      <c r="F101" s="58" t="n">
        <f aca="false">IF(E101&gt;B101,1,0)</f>
        <v>0</v>
      </c>
    </row>
    <row r="102" customFormat="false" ht="15" hidden="false" customHeight="false" outlineLevel="0" collapsed="false">
      <c r="A102" s="47" t="str">
        <f aca="false">Capital_Structure!A53</f>
        <v>2020 Plan stock options</v>
      </c>
      <c r="B102" s="15" t="n">
        <f aca="false">Capital_Structure!B53</f>
        <v>9.2</v>
      </c>
      <c r="C102" s="22" t="n">
        <f aca="false">Capital_Structure!C53</f>
        <v>1.957612</v>
      </c>
      <c r="D102" s="16" t="n">
        <f aca="false">Capital_Structure!D53</f>
        <v>18.0100304</v>
      </c>
      <c r="E102" s="57" t="n">
        <f aca="false">($C$94+SUMIF($B$97:$B$106,"&lt;="&amp;B102,$D$97:$D$106))/($C$95+SUMIF($B$97:$B$106,"&lt;="&amp;B102,$C$97:$C$106))</f>
        <v>1.22670200381601</v>
      </c>
      <c r="F102" s="58" t="n">
        <f aca="false">IF(E102&gt;B102,1,0)</f>
        <v>0</v>
      </c>
    </row>
    <row r="103" customFormat="false" ht="15" hidden="false" customHeight="false" outlineLevel="0" collapsed="false">
      <c r="A103" s="47" t="str">
        <f aca="false">Capital_Structure!A54</f>
        <v>2024 Plan stock options</v>
      </c>
      <c r="B103" s="15" t="n">
        <f aca="false">Capital_Structure!B54</f>
        <v>24.65</v>
      </c>
      <c r="C103" s="22" t="n">
        <f aca="false">Capital_Structure!C54</f>
        <v>0.055718</v>
      </c>
      <c r="D103" s="16" t="n">
        <f aca="false">Capital_Structure!D54</f>
        <v>1.3734487</v>
      </c>
      <c r="E103" s="57" t="n">
        <f aca="false">($C$94+SUMIF($B$97:$B$106,"&lt;="&amp;B103,$D$97:$D$106))/($C$95+SUMIF($B$97:$B$106,"&lt;="&amp;B103,$C$97:$C$106))</f>
        <v>1.22993078472179</v>
      </c>
      <c r="F103" s="58" t="n">
        <f aca="false">IF(E103&gt;B103,1,0)</f>
        <v>0</v>
      </c>
    </row>
    <row r="104" customFormat="false" ht="15" hidden="false" customHeight="false" outlineLevel="0" collapsed="false">
      <c r="A104" s="47" t="str">
        <f aca="false">Capital_Structure!A55</f>
        <v>AST LLC incentive options</v>
      </c>
      <c r="B104" s="15" t="n">
        <f aca="false">Capital_Structure!B55</f>
        <v>1.01</v>
      </c>
      <c r="C104" s="22" t="n">
        <f aca="false">Capital_Structure!C55</f>
        <v>5.320887</v>
      </c>
      <c r="D104" s="16" t="n">
        <f aca="false">Capital_Structure!D55</f>
        <v>5.37409587</v>
      </c>
      <c r="E104" s="57" t="n">
        <f aca="false">($C$94+SUMIF($B$97:$B$106,"&lt;="&amp;B104,$D$97:$D$106))/($C$95+SUMIF($B$97:$B$106,"&lt;="&amp;B104,$C$97:$C$106))</f>
        <v>1.18789338189308</v>
      </c>
      <c r="F104" s="58" t="n">
        <f aca="false">IF(E104&gt;B104,1,0)</f>
        <v>1</v>
      </c>
    </row>
    <row r="105" customFormat="false" ht="15" hidden="false" customHeight="false" outlineLevel="0" collapsed="false">
      <c r="A105" s="47" t="str">
        <f aca="false">Capital_Structure!A56</f>
        <v>2020 Plan RSUs</v>
      </c>
      <c r="B105" s="15" t="n">
        <f aca="false">Capital_Structure!B56</f>
        <v>0</v>
      </c>
      <c r="C105" s="22" t="n">
        <f aca="false">Capital_Structure!C56</f>
        <v>0.832699</v>
      </c>
      <c r="D105" s="16" t="n">
        <f aca="false">Capital_Structure!D56</f>
        <v>0</v>
      </c>
      <c r="E105" s="57" t="n">
        <f aca="false">($C$94+SUMIF($B$97:$B$106,"&lt;="&amp;B105,$D$97:$D$106))/($C$95+SUMIF($B$97:$B$106,"&lt;="&amp;B105,$C$97:$C$106))</f>
        <v>1.19027839809315</v>
      </c>
      <c r="F105" s="58" t="n">
        <f aca="false">IF(E105&gt;B105,1,0)</f>
        <v>1</v>
      </c>
    </row>
    <row r="106" customFormat="false" ht="15" hidden="false" customHeight="false" outlineLevel="0" collapsed="false">
      <c r="A106" s="47" t="str">
        <f aca="false">Capital_Structure!A57</f>
        <v>2024 Plan RSUs</v>
      </c>
      <c r="B106" s="15" t="n">
        <f aca="false">Capital_Structure!B57</f>
        <v>0</v>
      </c>
      <c r="C106" s="22" t="n">
        <f aca="false">Capital_Structure!C57</f>
        <v>6.873666</v>
      </c>
      <c r="D106" s="16" t="n">
        <f aca="false">Capital_Structure!D57</f>
        <v>0</v>
      </c>
      <c r="E106" s="57" t="n">
        <f aca="false">($C$94+SUMIF($B$97:$B$106,"&lt;="&amp;B106,$D$97:$D$106))/($C$95+SUMIF($B$97:$B$106,"&lt;="&amp;B106,$C$97:$C$106))</f>
        <v>1.19027839809315</v>
      </c>
      <c r="F106" s="58" t="n">
        <f aca="false">IF(E106&gt;B106,1,0)</f>
        <v>1</v>
      </c>
    </row>
    <row r="107" customFormat="false" ht="15" hidden="false" customHeight="false" outlineLevel="0" collapsed="false">
      <c r="A107" s="7" t="s">
        <v>664</v>
      </c>
      <c r="C107" s="42" t="n">
        <f aca="false">C94+SUMPRODUCT(F97:F106,D97:D106)</f>
        <v>477.764477005567</v>
      </c>
    </row>
    <row r="108" customFormat="false" ht="15" hidden="false" customHeight="false" outlineLevel="0" collapsed="false">
      <c r="A108" s="7" t="s">
        <v>40</v>
      </c>
      <c r="C108" s="42" t="n">
        <f aca="false">C95+SUMPRODUCT(F97:F106,C97:C106)</f>
        <v>402.194746</v>
      </c>
    </row>
    <row r="109" customFormat="false" ht="15" hidden="false" customHeight="false" outlineLevel="0" collapsed="false">
      <c r="A109" s="3" t="s">
        <v>665</v>
      </c>
      <c r="C109" s="20" t="n">
        <f aca="false">MAX(0,C107/C108)</f>
        <v>1.18789338189308</v>
      </c>
    </row>
    <row r="110" customFormat="false" ht="15" hidden="false" customHeight="false" outlineLevel="0" collapsed="false">
      <c r="A110" s="7" t="s">
        <v>666</v>
      </c>
      <c r="C110" s="41" t="n">
        <f aca="false">C109/Market_Data!$J$7-1</f>
        <v>-0.980969346653427</v>
      </c>
    </row>
    <row r="111" customFormat="false" ht="15" hidden="false" customHeight="false" outlineLevel="0" collapsed="false">
      <c r="A111" s="5" t="s">
        <v>667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customFormat="false" ht="15" hidden="false" customHeight="false" outlineLevel="0" collapsed="false">
      <c r="A112" s="7" t="s">
        <v>668</v>
      </c>
      <c r="C112" s="42" t="n">
        <f aca="false">Inputs!$D$36+D37</f>
        <v>166.255</v>
      </c>
    </row>
    <row r="113" customFormat="false" ht="15" hidden="false" customHeight="false" outlineLevel="0" collapsed="false">
      <c r="A113" s="7" t="s">
        <v>669</v>
      </c>
      <c r="C113" s="42" t="n">
        <f aca="false">MIN(D69:R69)</f>
        <v>-5827.85033932901</v>
      </c>
    </row>
    <row r="114" customFormat="false" ht="15" hidden="false" customHeight="false" outlineLevel="0" collapsed="false">
      <c r="A114" s="7" t="s">
        <v>44</v>
      </c>
      <c r="C114" s="45" t="n">
        <f aca="false">MAX(D39:R39)</f>
        <v>1.00430336660692</v>
      </c>
    </row>
    <row r="115" customFormat="false" ht="15" hidden="false" customHeight="false" outlineLevel="0" collapsed="false">
      <c r="A115" s="7" t="s">
        <v>670</v>
      </c>
      <c r="C115" s="41" t="n">
        <f aca="false">IF(N37&lt;=0,0,(R37/N37)^(1/4)-1)</f>
        <v>0.0307307974058682</v>
      </c>
    </row>
    <row r="116" customFormat="false" ht="15" hidden="false" customHeight="false" outlineLevel="0" collapsed="false">
      <c r="A116" s="7" t="s">
        <v>26</v>
      </c>
      <c r="C116" s="41" t="n">
        <f aca="false">R50</f>
        <v>0.450407889352344</v>
      </c>
    </row>
    <row r="117" customFormat="false" ht="15" hidden="false" customHeight="false" outlineLevel="0" collapsed="false">
      <c r="A117" s="7" t="s">
        <v>671</v>
      </c>
      <c r="C117" s="42" t="n">
        <f aca="false">H37</f>
        <v>900.417651691516</v>
      </c>
    </row>
    <row r="118" customFormat="false" ht="15" hidden="false" customHeight="false" outlineLevel="0" collapsed="false">
      <c r="A118" s="7" t="s">
        <v>672</v>
      </c>
      <c r="C118" s="42" t="n">
        <f aca="false">M37</f>
        <v>2754.05561677691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19" min="4" style="0" width="10"/>
  </cols>
  <sheetData>
    <row r="1" customFormat="false" ht="17.35" hidden="false" customHeight="false" outlineLevel="0" collapsed="false">
      <c r="A1" s="1" t="s">
        <v>675</v>
      </c>
    </row>
    <row r="2" customFormat="false" ht="15" hidden="false" customHeight="false" outlineLevel="0" collapsed="false">
      <c r="A2" s="2" t="s">
        <v>676</v>
      </c>
    </row>
    <row r="5" customFormat="false" ht="15" hidden="false" customHeight="false" outlineLevel="0" collapsed="false">
      <c r="A5" s="7" t="s">
        <v>415</v>
      </c>
      <c r="B5" s="17"/>
      <c r="D5" s="3" t="s">
        <v>416</v>
      </c>
      <c r="E5" s="3" t="s">
        <v>417</v>
      </c>
      <c r="F5" s="3" t="s">
        <v>418</v>
      </c>
      <c r="G5" s="3" t="s">
        <v>419</v>
      </c>
      <c r="H5" s="3" t="s">
        <v>420</v>
      </c>
      <c r="I5" s="3" t="s">
        <v>421</v>
      </c>
      <c r="J5" s="3" t="s">
        <v>422</v>
      </c>
      <c r="K5" s="3" t="s">
        <v>423</v>
      </c>
      <c r="L5" s="3" t="s">
        <v>424</v>
      </c>
      <c r="M5" s="3" t="s">
        <v>425</v>
      </c>
      <c r="N5" s="3" t="s">
        <v>426</v>
      </c>
      <c r="O5" s="3" t="s">
        <v>427</v>
      </c>
      <c r="P5" s="3" t="s">
        <v>428</v>
      </c>
      <c r="Q5" s="3" t="s">
        <v>429</v>
      </c>
      <c r="R5" s="3" t="s">
        <v>430</v>
      </c>
      <c r="S5" s="3" t="s">
        <v>570</v>
      </c>
    </row>
    <row r="6" customFormat="false" ht="15" hidden="false" customHeight="false" outlineLevel="0" collapsed="false">
      <c r="A6" s="7" t="s">
        <v>571</v>
      </c>
      <c r="B6" s="17" t="s">
        <v>64</v>
      </c>
      <c r="D6" s="25" t="n">
        <v>2026</v>
      </c>
      <c r="E6" s="25" t="n">
        <v>2027</v>
      </c>
      <c r="F6" s="25" t="n">
        <v>2028</v>
      </c>
      <c r="G6" s="25" t="n">
        <v>2029</v>
      </c>
      <c r="H6" s="25" t="n">
        <v>2030</v>
      </c>
      <c r="I6" s="25" t="n">
        <v>2031</v>
      </c>
      <c r="J6" s="25" t="n">
        <v>2032</v>
      </c>
      <c r="K6" s="25" t="n">
        <v>2033</v>
      </c>
      <c r="L6" s="25" t="n">
        <v>2034</v>
      </c>
      <c r="M6" s="25" t="n">
        <v>2035</v>
      </c>
      <c r="N6" s="25" t="n">
        <v>2036</v>
      </c>
      <c r="O6" s="25" t="n">
        <v>2037</v>
      </c>
      <c r="P6" s="25" t="n">
        <v>2038</v>
      </c>
      <c r="Q6" s="25" t="n">
        <v>2039</v>
      </c>
      <c r="R6" s="25" t="n">
        <v>2040</v>
      </c>
      <c r="S6" s="0" t="n">
        <v>2041</v>
      </c>
    </row>
    <row r="7" customFormat="false" ht="15" hidden="false" customHeight="false" outlineLevel="0" collapsed="false">
      <c r="A7" s="7" t="s">
        <v>572</v>
      </c>
      <c r="B7" s="17" t="s">
        <v>127</v>
      </c>
      <c r="D7" s="34" t="n">
        <v>0.5</v>
      </c>
      <c r="E7" s="34" t="n">
        <v>1</v>
      </c>
      <c r="F7" s="34" t="n">
        <v>1</v>
      </c>
      <c r="G7" s="34" t="n">
        <v>1</v>
      </c>
      <c r="H7" s="34" t="n">
        <v>1</v>
      </c>
      <c r="I7" s="34" t="n">
        <v>1</v>
      </c>
      <c r="J7" s="34" t="n">
        <v>1</v>
      </c>
      <c r="K7" s="34" t="n">
        <v>1</v>
      </c>
      <c r="L7" s="34" t="n">
        <v>1</v>
      </c>
      <c r="M7" s="34" t="n">
        <v>1</v>
      </c>
      <c r="N7" s="34" t="n">
        <v>1</v>
      </c>
      <c r="O7" s="34" t="n">
        <v>1</v>
      </c>
      <c r="P7" s="34" t="n">
        <v>1</v>
      </c>
      <c r="Q7" s="34" t="n">
        <v>1</v>
      </c>
      <c r="R7" s="34" t="n">
        <v>1</v>
      </c>
    </row>
    <row r="8" customFormat="false" ht="15" hidden="false" customHeight="false" outlineLevel="0" collapsed="false">
      <c r="A8" s="7" t="s">
        <v>573</v>
      </c>
      <c r="B8" s="17" t="s">
        <v>127</v>
      </c>
      <c r="D8" s="34" t="n">
        <v>2026.5</v>
      </c>
      <c r="E8" s="34" t="n">
        <v>2027</v>
      </c>
      <c r="F8" s="34" t="n">
        <v>2028</v>
      </c>
      <c r="G8" s="34" t="n">
        <v>2029</v>
      </c>
      <c r="H8" s="34" t="n">
        <v>2030</v>
      </c>
      <c r="I8" s="34" t="n">
        <v>2031</v>
      </c>
      <c r="J8" s="34" t="n">
        <v>2032</v>
      </c>
      <c r="K8" s="34" t="n">
        <v>2033</v>
      </c>
      <c r="L8" s="34" t="n">
        <v>2034</v>
      </c>
      <c r="M8" s="34" t="n">
        <v>2035</v>
      </c>
      <c r="N8" s="34" t="n">
        <v>2036</v>
      </c>
      <c r="O8" s="34" t="n">
        <v>2037</v>
      </c>
      <c r="P8" s="34" t="n">
        <v>2038</v>
      </c>
      <c r="Q8" s="34" t="n">
        <v>2039</v>
      </c>
      <c r="R8" s="34" t="n">
        <v>2040</v>
      </c>
    </row>
    <row r="9" customFormat="false" ht="15" hidden="false" customHeight="false" outlineLevel="0" collapsed="false">
      <c r="A9" s="7" t="s">
        <v>574</v>
      </c>
      <c r="B9" s="17" t="s">
        <v>127</v>
      </c>
      <c r="D9" s="51" t="n">
        <f aca="false">D8+D7/2</f>
        <v>2026.75</v>
      </c>
      <c r="E9" s="51" t="n">
        <f aca="false">E8+E7/2</f>
        <v>2027.5</v>
      </c>
      <c r="F9" s="51" t="n">
        <f aca="false">F8+F7/2</f>
        <v>2028.5</v>
      </c>
      <c r="G9" s="51" t="n">
        <f aca="false">G8+G7/2</f>
        <v>2029.5</v>
      </c>
      <c r="H9" s="51" t="n">
        <f aca="false">H8+H7/2</f>
        <v>2030.5</v>
      </c>
      <c r="I9" s="51" t="n">
        <f aca="false">I8+I7/2</f>
        <v>2031.5</v>
      </c>
      <c r="J9" s="51" t="n">
        <f aca="false">J8+J7/2</f>
        <v>2032.5</v>
      </c>
      <c r="K9" s="51" t="n">
        <f aca="false">K8+K7/2</f>
        <v>2033.5</v>
      </c>
      <c r="L9" s="51" t="n">
        <f aca="false">L8+L7/2</f>
        <v>2034.5</v>
      </c>
      <c r="M9" s="51" t="n">
        <f aca="false">M8+M7/2</f>
        <v>2035.5</v>
      </c>
      <c r="N9" s="51" t="n">
        <f aca="false">N8+N7/2</f>
        <v>2036.5</v>
      </c>
      <c r="O9" s="51" t="n">
        <f aca="false">O8+O7/2</f>
        <v>2037.5</v>
      </c>
      <c r="P9" s="51" t="n">
        <f aca="false">P8+P7/2</f>
        <v>2038.5</v>
      </c>
      <c r="Q9" s="51" t="n">
        <f aca="false">Q8+Q7/2</f>
        <v>2039.5</v>
      </c>
      <c r="R9" s="51" t="n">
        <f aca="false">R8+R7/2</f>
        <v>2040.5</v>
      </c>
    </row>
    <row r="10" customFormat="false" ht="15" hidden="false" customHeight="false" outlineLevel="0" collapsed="false">
      <c r="A10" s="5" t="s">
        <v>575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customFormat="false" ht="15" hidden="false" customHeight="false" outlineLevel="0" collapsed="false">
      <c r="A11" s="7" t="s">
        <v>576</v>
      </c>
      <c r="B11" s="17" t="s">
        <v>134</v>
      </c>
      <c r="D11" s="52" t="n">
        <f aca="false">IF(D$6=2026,Inputs!$G$59,IF(D$6=2027,Inputs!$G$60,IF(D$6=2028,Inputs!$G$61,IF(D$6=2029,Inputs!$G$62,Inputs!$G$63))))</f>
        <v>35</v>
      </c>
      <c r="E11" s="52" t="n">
        <f aca="false">IF(E$6=2026,Inputs!$G$59,IF(E$6=2027,Inputs!$G$60,IF(E$6=2028,Inputs!$G$61,IF(E$6=2029,Inputs!$G$62,Inputs!$G$63))))</f>
        <v>75</v>
      </c>
      <c r="F11" s="52" t="n">
        <f aca="false">IF(F$6=2026,Inputs!$G$59,IF(F$6=2027,Inputs!$G$60,IF(F$6=2028,Inputs!$G$61,IF(F$6=2029,Inputs!$G$62,Inputs!$G$63))))</f>
        <v>100</v>
      </c>
      <c r="G11" s="52" t="n">
        <f aca="false">IF(G$6=2026,Inputs!$G$59,IF(G$6=2027,Inputs!$G$60,IF(G$6=2028,Inputs!$G$61,IF(G$6=2029,Inputs!$G$62,Inputs!$G$63))))</f>
        <v>110</v>
      </c>
      <c r="H11" s="52" t="n">
        <f aca="false">IF(H$6=2026,Inputs!$G$59,IF(H$6=2027,Inputs!$G$60,IF(H$6=2028,Inputs!$G$61,IF(H$6=2029,Inputs!$G$62,Inputs!$G$63))))</f>
        <v>120</v>
      </c>
      <c r="I11" s="52" t="n">
        <f aca="false">IF(I$6=2026,Inputs!$G$59,IF(I$6=2027,Inputs!$G$60,IF(I$6=2028,Inputs!$G$61,IF(I$6=2029,Inputs!$G$62,Inputs!$G$63))))</f>
        <v>120</v>
      </c>
      <c r="J11" s="52" t="n">
        <f aca="false">IF(J$6=2026,Inputs!$G$59,IF(J$6=2027,Inputs!$G$60,IF(J$6=2028,Inputs!$G$61,IF(J$6=2029,Inputs!$G$62,Inputs!$G$63))))</f>
        <v>120</v>
      </c>
      <c r="K11" s="52" t="n">
        <f aca="false">IF(K$6=2026,Inputs!$G$59,IF(K$6=2027,Inputs!$G$60,IF(K$6=2028,Inputs!$G$61,IF(K$6=2029,Inputs!$G$62,Inputs!$G$63))))</f>
        <v>120</v>
      </c>
      <c r="L11" s="52" t="n">
        <f aca="false">IF(L$6=2026,Inputs!$G$59,IF(L$6=2027,Inputs!$G$60,IF(L$6=2028,Inputs!$G$61,IF(L$6=2029,Inputs!$G$62,Inputs!$G$63))))</f>
        <v>120</v>
      </c>
      <c r="M11" s="52" t="n">
        <f aca="false">IF(M$6=2026,Inputs!$G$59,IF(M$6=2027,Inputs!$G$60,IF(M$6=2028,Inputs!$G$61,IF(M$6=2029,Inputs!$G$62,Inputs!$G$63))))</f>
        <v>120</v>
      </c>
      <c r="N11" s="52" t="n">
        <f aca="false">IF(N$6=2026,Inputs!$G$59,IF(N$6=2027,Inputs!$G$60,IF(N$6=2028,Inputs!$G$61,IF(N$6=2029,Inputs!$G$62,Inputs!$G$63))))</f>
        <v>120</v>
      </c>
      <c r="O11" s="52" t="n">
        <f aca="false">IF(O$6=2026,Inputs!$G$59,IF(O$6=2027,Inputs!$G$60,IF(O$6=2028,Inputs!$G$61,IF(O$6=2029,Inputs!$G$62,Inputs!$G$63))))</f>
        <v>120</v>
      </c>
      <c r="P11" s="52" t="n">
        <f aca="false">IF(P$6=2026,Inputs!$G$59,IF(P$6=2027,Inputs!$G$60,IF(P$6=2028,Inputs!$G$61,IF(P$6=2029,Inputs!$G$62,Inputs!$G$63))))</f>
        <v>120</v>
      </c>
      <c r="Q11" s="52" t="n">
        <f aca="false">IF(Q$6=2026,Inputs!$G$59,IF(Q$6=2027,Inputs!$G$60,IF(Q$6=2028,Inputs!$G$61,IF(Q$6=2029,Inputs!$G$62,Inputs!$G$63))))</f>
        <v>120</v>
      </c>
      <c r="R11" s="52" t="n">
        <f aca="false">IF(R$6=2026,Inputs!$G$59,IF(R$6=2027,Inputs!$G$60,IF(R$6=2028,Inputs!$G$61,IF(R$6=2029,Inputs!$G$62,Inputs!$G$63))))</f>
        <v>120</v>
      </c>
    </row>
    <row r="12" customFormat="false" ht="15" hidden="false" customHeight="false" outlineLevel="0" collapsed="false">
      <c r="A12" s="7" t="s">
        <v>577</v>
      </c>
      <c r="B12" s="17" t="s">
        <v>134</v>
      </c>
      <c r="D12" s="52" t="n">
        <f aca="false">Inputs!$D$28</f>
        <v>4</v>
      </c>
      <c r="E12" s="50" t="n">
        <f aca="false">D15</f>
        <v>35</v>
      </c>
      <c r="F12" s="50" t="n">
        <f aca="false">E15</f>
        <v>75</v>
      </c>
      <c r="G12" s="50" t="n">
        <f aca="false">F15</f>
        <v>100</v>
      </c>
      <c r="H12" s="50" t="n">
        <f aca="false">G15</f>
        <v>110</v>
      </c>
      <c r="I12" s="50" t="n">
        <f aca="false">H15</f>
        <v>120</v>
      </c>
      <c r="J12" s="50" t="n">
        <f aca="false">I15</f>
        <v>120</v>
      </c>
      <c r="K12" s="50" t="n">
        <f aca="false">J15</f>
        <v>120</v>
      </c>
      <c r="L12" s="50" t="n">
        <f aca="false">K15</f>
        <v>120</v>
      </c>
      <c r="M12" s="50" t="n">
        <f aca="false">L15</f>
        <v>120</v>
      </c>
      <c r="N12" s="50" t="n">
        <f aca="false">M15</f>
        <v>120</v>
      </c>
      <c r="O12" s="50" t="n">
        <f aca="false">N15</f>
        <v>120</v>
      </c>
      <c r="P12" s="50" t="n">
        <f aca="false">O15</f>
        <v>120</v>
      </c>
      <c r="Q12" s="50" t="n">
        <f aca="false">P15</f>
        <v>120</v>
      </c>
      <c r="R12" s="50" t="n">
        <f aca="false">Q15</f>
        <v>120</v>
      </c>
    </row>
    <row r="13" customFormat="false" ht="15" hidden="false" customHeight="false" outlineLevel="0" collapsed="false">
      <c r="A13" s="7" t="s">
        <v>578</v>
      </c>
      <c r="B13" s="17" t="s">
        <v>134</v>
      </c>
      <c r="D13" s="50" t="n">
        <f aca="false">0</f>
        <v>0</v>
      </c>
      <c r="E13" s="50" t="n">
        <f aca="false">IF(E$6-ROUND(Inputs!$D$26,0)=2026,$D$14+Inputs!$D$28,IF(E$6-ROUND(Inputs!$D$26,0)&gt;=2027,INDEX($D$14:D14,1,E$6-ROUND(Inputs!$D$26,0)-2026+1),0))</f>
        <v>0</v>
      </c>
      <c r="F13" s="50" t="n">
        <f aca="false">IF(F$6-ROUND(Inputs!$D$26,0)=2026,$D$14+Inputs!$D$28,IF(F$6-ROUND(Inputs!$D$26,0)&gt;=2027,INDEX($D$14:E14,1,F$6-ROUND(Inputs!$D$26,0)-2026+1),0))</f>
        <v>0</v>
      </c>
      <c r="G13" s="50" t="n">
        <f aca="false">IF(G$6-ROUND(Inputs!$D$26,0)=2026,$D$14+Inputs!$D$28,IF(G$6-ROUND(Inputs!$D$26,0)&gt;=2027,INDEX($D$14:F14,1,G$6-ROUND(Inputs!$D$26,0)-2026+1),0))</f>
        <v>0</v>
      </c>
      <c r="H13" s="50" t="n">
        <f aca="false">IF(H$6-ROUND(Inputs!$D$26,0)=2026,$D$14+Inputs!$D$28,IF(H$6-ROUND(Inputs!$D$26,0)&gt;=2027,INDEX($D$14:G14,1,H$6-ROUND(Inputs!$D$26,0)-2026+1),0))</f>
        <v>0</v>
      </c>
      <c r="I13" s="50" t="n">
        <f aca="false">IF(I$6-ROUND(Inputs!$D$26,0)=2026,$D$14+Inputs!$D$28,IF(I$6-ROUND(Inputs!$D$26,0)&gt;=2027,INDEX($D$14:H14,1,I$6-ROUND(Inputs!$D$26,0)-2026+1),0))</f>
        <v>0</v>
      </c>
      <c r="J13" s="50" t="n">
        <f aca="false">IF(J$6-ROUND(Inputs!$D$26,0)=2026,$D$14+Inputs!$D$28,IF(J$6-ROUND(Inputs!$D$26,0)&gt;=2027,INDEX($D$14:I14,1,J$6-ROUND(Inputs!$D$26,0)-2026+1),0))</f>
        <v>0</v>
      </c>
      <c r="K13" s="50" t="n">
        <f aca="false">IF(K$6-ROUND(Inputs!$D$26,0)=2026,$D$14+Inputs!$D$28,IF(K$6-ROUND(Inputs!$D$26,0)&gt;=2027,INDEX($D$14:J14,1,K$6-ROUND(Inputs!$D$26,0)-2026+1),0))</f>
        <v>35</v>
      </c>
      <c r="L13" s="50" t="n">
        <f aca="false">IF(L$6-ROUND(Inputs!$D$26,0)=2026,$D$14+Inputs!$D$28,IF(L$6-ROUND(Inputs!$D$26,0)&gt;=2027,INDEX($D$14:K14,1,L$6-ROUND(Inputs!$D$26,0)-2026+1),0))</f>
        <v>40</v>
      </c>
      <c r="M13" s="50" t="n">
        <f aca="false">IF(M$6-ROUND(Inputs!$D$26,0)=2026,$D$14+Inputs!$D$28,IF(M$6-ROUND(Inputs!$D$26,0)&gt;=2027,INDEX($D$14:L14,1,M$6-ROUND(Inputs!$D$26,0)-2026+1),0))</f>
        <v>25</v>
      </c>
      <c r="N13" s="50" t="n">
        <f aca="false">IF(N$6-ROUND(Inputs!$D$26,0)=2026,$D$14+Inputs!$D$28,IF(N$6-ROUND(Inputs!$D$26,0)&gt;=2027,INDEX($D$14:M14,1,N$6-ROUND(Inputs!$D$26,0)-2026+1),0))</f>
        <v>10</v>
      </c>
      <c r="O13" s="50" t="n">
        <f aca="false">IF(O$6-ROUND(Inputs!$D$26,0)=2026,$D$14+Inputs!$D$28,IF(O$6-ROUND(Inputs!$D$26,0)&gt;=2027,INDEX($D$14:N14,1,O$6-ROUND(Inputs!$D$26,0)-2026+1),0))</f>
        <v>10</v>
      </c>
      <c r="P13" s="50" t="n">
        <f aca="false">IF(P$6-ROUND(Inputs!$D$26,0)=2026,$D$14+Inputs!$D$28,IF(P$6-ROUND(Inputs!$D$26,0)&gt;=2027,INDEX($D$14:O14,1,P$6-ROUND(Inputs!$D$26,0)-2026+1),0))</f>
        <v>0</v>
      </c>
      <c r="Q13" s="50" t="n">
        <f aca="false">IF(Q$6-ROUND(Inputs!$D$26,0)=2026,$D$14+Inputs!$D$28,IF(Q$6-ROUND(Inputs!$D$26,0)&gt;=2027,INDEX($D$14:P14,1,Q$6-ROUND(Inputs!$D$26,0)-2026+1),0))</f>
        <v>0</v>
      </c>
      <c r="R13" s="50" t="n">
        <f aca="false">IF(R$6-ROUND(Inputs!$D$26,0)=2026,$D$14+Inputs!$D$28,IF(R$6-ROUND(Inputs!$D$26,0)&gt;=2027,INDEX($D$14:Q14,1,R$6-ROUND(Inputs!$D$26,0)-2026+1),0))</f>
        <v>35</v>
      </c>
    </row>
    <row r="14" customFormat="false" ht="15" hidden="false" customHeight="false" outlineLevel="0" collapsed="false">
      <c r="A14" s="7" t="s">
        <v>579</v>
      </c>
      <c r="B14" s="17" t="s">
        <v>134</v>
      </c>
      <c r="D14" s="50" t="n">
        <f aca="false">MAX(0,D11-D12+D13)</f>
        <v>31</v>
      </c>
      <c r="E14" s="50" t="n">
        <f aca="false">MAX(0,E11-E12+E13)</f>
        <v>40</v>
      </c>
      <c r="F14" s="50" t="n">
        <f aca="false">MAX(0,F11-F12+F13)</f>
        <v>25</v>
      </c>
      <c r="G14" s="50" t="n">
        <f aca="false">MAX(0,G11-G12+G13)</f>
        <v>10</v>
      </c>
      <c r="H14" s="50" t="n">
        <f aca="false">MAX(0,H11-H12+H13)</f>
        <v>10</v>
      </c>
      <c r="I14" s="50" t="n">
        <f aca="false">MAX(0,I11-I12+I13)</f>
        <v>0</v>
      </c>
      <c r="J14" s="50" t="n">
        <f aca="false">MAX(0,J11-J12+J13)</f>
        <v>0</v>
      </c>
      <c r="K14" s="50" t="n">
        <f aca="false">MAX(0,K11-K12+K13)</f>
        <v>35</v>
      </c>
      <c r="L14" s="50" t="n">
        <f aca="false">MAX(0,L11-L12+L13)</f>
        <v>40</v>
      </c>
      <c r="M14" s="50" t="n">
        <f aca="false">MAX(0,M11-M12+M13)</f>
        <v>25</v>
      </c>
      <c r="N14" s="50" t="n">
        <f aca="false">MAX(0,N11-N12+N13)</f>
        <v>10</v>
      </c>
      <c r="O14" s="50" t="n">
        <f aca="false">MAX(0,O11-O12+O13)</f>
        <v>10</v>
      </c>
      <c r="P14" s="50" t="n">
        <f aca="false">MAX(0,P11-P12+P13)</f>
        <v>0</v>
      </c>
      <c r="Q14" s="50" t="n">
        <f aca="false">MAX(0,Q11-Q12+Q13)</f>
        <v>0</v>
      </c>
      <c r="R14" s="50" t="n">
        <f aca="false">MAX(0,R11-R12+R13)</f>
        <v>35</v>
      </c>
    </row>
    <row r="15" customFormat="false" ht="15" hidden="false" customHeight="false" outlineLevel="0" collapsed="false">
      <c r="A15" s="3" t="s">
        <v>580</v>
      </c>
      <c r="B15" s="17" t="s">
        <v>134</v>
      </c>
      <c r="D15" s="53" t="n">
        <f aca="false">D12-D13+D14</f>
        <v>35</v>
      </c>
      <c r="E15" s="53" t="n">
        <f aca="false">E12-E13+E14</f>
        <v>75</v>
      </c>
      <c r="F15" s="53" t="n">
        <f aca="false">F12-F13+F14</f>
        <v>100</v>
      </c>
      <c r="G15" s="53" t="n">
        <f aca="false">G12-G13+G14</f>
        <v>110</v>
      </c>
      <c r="H15" s="53" t="n">
        <f aca="false">H12-H13+H14</f>
        <v>120</v>
      </c>
      <c r="I15" s="53" t="n">
        <f aca="false">I12-I13+I14</f>
        <v>120</v>
      </c>
      <c r="J15" s="53" t="n">
        <f aca="false">J12-J13+J14</f>
        <v>120</v>
      </c>
      <c r="K15" s="53" t="n">
        <f aca="false">K12-K13+K14</f>
        <v>120</v>
      </c>
      <c r="L15" s="53" t="n">
        <f aca="false">L12-L13+L14</f>
        <v>120</v>
      </c>
      <c r="M15" s="53" t="n">
        <f aca="false">M12-M13+M14</f>
        <v>120</v>
      </c>
      <c r="N15" s="53" t="n">
        <f aca="false">N12-N13+N14</f>
        <v>120</v>
      </c>
      <c r="O15" s="53" t="n">
        <f aca="false">O12-O13+O14</f>
        <v>120</v>
      </c>
      <c r="P15" s="53" t="n">
        <f aca="false">P12-P13+P14</f>
        <v>120</v>
      </c>
      <c r="Q15" s="53" t="n">
        <f aca="false">Q12-Q13+Q14</f>
        <v>120</v>
      </c>
      <c r="R15" s="53" t="n">
        <f aca="false">R12-R13+R14</f>
        <v>120</v>
      </c>
    </row>
    <row r="16" customFormat="false" ht="15" hidden="false" customHeight="false" outlineLevel="0" collapsed="false">
      <c r="A16" s="7" t="s">
        <v>581</v>
      </c>
      <c r="B16" s="17" t="s">
        <v>134</v>
      </c>
      <c r="D16" s="42" t="n">
        <f aca="false">D14/(1-Inputs!$D$27)</f>
        <v>32.6315789473684</v>
      </c>
      <c r="E16" s="42" t="n">
        <f aca="false">E14/(1-Inputs!$D$27)</f>
        <v>42.1052631578947</v>
      </c>
      <c r="F16" s="42" t="n">
        <f aca="false">F14/(1-Inputs!$D$27)</f>
        <v>26.3157894736842</v>
      </c>
      <c r="G16" s="42" t="n">
        <f aca="false">G14/(1-Inputs!$D$27)</f>
        <v>10.5263157894737</v>
      </c>
      <c r="H16" s="42" t="n">
        <f aca="false">H14/(1-Inputs!$D$27)</f>
        <v>10.5263157894737</v>
      </c>
      <c r="I16" s="42" t="n">
        <f aca="false">I14/(1-Inputs!$D$27)</f>
        <v>0</v>
      </c>
      <c r="J16" s="42" t="n">
        <f aca="false">J14/(1-Inputs!$D$27)</f>
        <v>0</v>
      </c>
      <c r="K16" s="42" t="n">
        <f aca="false">K14/(1-Inputs!$D$27)</f>
        <v>36.8421052631579</v>
      </c>
      <c r="L16" s="42" t="n">
        <f aca="false">L14/(1-Inputs!$D$27)</f>
        <v>42.1052631578947</v>
      </c>
      <c r="M16" s="42" t="n">
        <f aca="false">M14/(1-Inputs!$D$27)</f>
        <v>26.3157894736842</v>
      </c>
      <c r="N16" s="42" t="n">
        <f aca="false">N14/(1-Inputs!$D$27)</f>
        <v>10.5263157894737</v>
      </c>
      <c r="O16" s="42" t="n">
        <f aca="false">O14/(1-Inputs!$D$27)</f>
        <v>10.5263157894737</v>
      </c>
      <c r="P16" s="42" t="n">
        <f aca="false">P14/(1-Inputs!$D$27)</f>
        <v>0</v>
      </c>
      <c r="Q16" s="42" t="n">
        <f aca="false">Q14/(1-Inputs!$D$27)</f>
        <v>0</v>
      </c>
      <c r="R16" s="42" t="n">
        <f aca="false">R14/(1-Inputs!$D$27)</f>
        <v>36.8421052631579</v>
      </c>
    </row>
    <row r="17" customFormat="false" ht="15" hidden="false" customHeight="false" outlineLevel="0" collapsed="false">
      <c r="A17" s="7" t="s">
        <v>582</v>
      </c>
      <c r="B17" s="17" t="s">
        <v>134</v>
      </c>
      <c r="D17" s="42" t="n">
        <f aca="false">(D12+D15)/2</f>
        <v>19.5</v>
      </c>
      <c r="E17" s="42" t="n">
        <f aca="false">(E12+E15)/2</f>
        <v>55</v>
      </c>
      <c r="F17" s="42" t="n">
        <f aca="false">(F12+F15)/2</f>
        <v>87.5</v>
      </c>
      <c r="G17" s="42" t="n">
        <f aca="false">(G12+G15)/2</f>
        <v>105</v>
      </c>
      <c r="H17" s="42" t="n">
        <f aca="false">(H12+H15)/2</f>
        <v>115</v>
      </c>
      <c r="I17" s="42" t="n">
        <f aca="false">(I12+I15)/2</f>
        <v>120</v>
      </c>
      <c r="J17" s="42" t="n">
        <f aca="false">(J12+J15)/2</f>
        <v>120</v>
      </c>
      <c r="K17" s="42" t="n">
        <f aca="false">(K12+K15)/2</f>
        <v>120</v>
      </c>
      <c r="L17" s="42" t="n">
        <f aca="false">(L12+L15)/2</f>
        <v>120</v>
      </c>
      <c r="M17" s="42" t="n">
        <f aca="false">(M12+M15)/2</f>
        <v>120</v>
      </c>
      <c r="N17" s="42" t="n">
        <f aca="false">(N12+N15)/2</f>
        <v>120</v>
      </c>
      <c r="O17" s="42" t="n">
        <f aca="false">(O12+O15)/2</f>
        <v>120</v>
      </c>
      <c r="P17" s="42" t="n">
        <f aca="false">(P12+P15)/2</f>
        <v>120</v>
      </c>
      <c r="Q17" s="42" t="n">
        <f aca="false">(Q12+Q15)/2</f>
        <v>120</v>
      </c>
      <c r="R17" s="42" t="n">
        <f aca="false">(R12+R15)/2</f>
        <v>120</v>
      </c>
    </row>
    <row r="18" customFormat="false" ht="15" hidden="false" customHeight="false" outlineLevel="0" collapsed="false">
      <c r="A18" s="7" t="s">
        <v>583</v>
      </c>
      <c r="B18" s="17" t="s">
        <v>116</v>
      </c>
      <c r="D18" s="42" t="n">
        <f aca="false">Inputs!$G$64*(1+Inputs!$G$65)^MAX(0,D$6-2028)</f>
        <v>21</v>
      </c>
      <c r="E18" s="42" t="n">
        <f aca="false">Inputs!$G$64*(1+Inputs!$G$65)^MAX(0,E$6-2028)</f>
        <v>21</v>
      </c>
      <c r="F18" s="42" t="n">
        <f aca="false">Inputs!$G$64*(1+Inputs!$G$65)^MAX(0,F$6-2028)</f>
        <v>21</v>
      </c>
      <c r="G18" s="42" t="n">
        <f aca="false">Inputs!$G$64*(1+Inputs!$G$65)^MAX(0,G$6-2028)</f>
        <v>21.315</v>
      </c>
      <c r="H18" s="42" t="n">
        <f aca="false">Inputs!$G$64*(1+Inputs!$G$65)^MAX(0,H$6-2028)</f>
        <v>21.634725</v>
      </c>
      <c r="I18" s="42" t="n">
        <f aca="false">Inputs!$G$64*(1+Inputs!$G$65)^MAX(0,I$6-2028)</f>
        <v>21.959245875</v>
      </c>
      <c r="J18" s="42" t="n">
        <f aca="false">Inputs!$G$64*(1+Inputs!$G$65)^MAX(0,J$6-2028)</f>
        <v>22.288634563125</v>
      </c>
      <c r="K18" s="42" t="n">
        <f aca="false">Inputs!$G$64*(1+Inputs!$G$65)^MAX(0,K$6-2028)</f>
        <v>22.6229640815719</v>
      </c>
      <c r="L18" s="42" t="n">
        <f aca="false">Inputs!$G$64*(1+Inputs!$G$65)^MAX(0,L$6-2028)</f>
        <v>22.9623085427954</v>
      </c>
      <c r="M18" s="42" t="n">
        <f aca="false">Inputs!$G$64*(1+Inputs!$G$65)^MAX(0,M$6-2028)</f>
        <v>23.3067431709374</v>
      </c>
      <c r="N18" s="42" t="n">
        <f aca="false">Inputs!$G$64*(1+Inputs!$G$65)^MAX(0,N$6-2028)</f>
        <v>23.6563443185014</v>
      </c>
      <c r="O18" s="42" t="n">
        <f aca="false">Inputs!$G$64*(1+Inputs!$G$65)^MAX(0,O$6-2028)</f>
        <v>24.0111894832789</v>
      </c>
      <c r="P18" s="42" t="n">
        <f aca="false">Inputs!$G$64*(1+Inputs!$G$65)^MAX(0,P$6-2028)</f>
        <v>24.3713573255281</v>
      </c>
      <c r="Q18" s="42" t="n">
        <f aca="false">Inputs!$G$64*(1+Inputs!$G$65)^MAX(0,Q$6-2028)</f>
        <v>24.736927685411</v>
      </c>
      <c r="R18" s="42" t="n">
        <f aca="false">Inputs!$G$64*(1+Inputs!$G$65)^MAX(0,R$6-2028)</f>
        <v>25.1079816006922</v>
      </c>
    </row>
    <row r="19" customFormat="false" ht="15" hidden="false" customHeight="false" outlineLevel="0" collapsed="false">
      <c r="A19" s="7" t="s">
        <v>584</v>
      </c>
      <c r="B19" s="17" t="s">
        <v>116</v>
      </c>
      <c r="D19" s="42" t="n">
        <f aca="false">D16*D18</f>
        <v>685.263157894737</v>
      </c>
      <c r="E19" s="42" t="n">
        <f aca="false">E16*E18</f>
        <v>884.21052631579</v>
      </c>
      <c r="F19" s="42" t="n">
        <f aca="false">F16*F18</f>
        <v>552.631578947368</v>
      </c>
      <c r="G19" s="42" t="n">
        <f aca="false">G16*G18</f>
        <v>224.368421052632</v>
      </c>
      <c r="H19" s="42" t="n">
        <f aca="false">H16*H18</f>
        <v>227.733947368421</v>
      </c>
      <c r="I19" s="42" t="n">
        <f aca="false">I16*I18</f>
        <v>0</v>
      </c>
      <c r="J19" s="42" t="n">
        <f aca="false">J16*J18</f>
        <v>0</v>
      </c>
      <c r="K19" s="42" t="n">
        <f aca="false">K16*K18</f>
        <v>833.477624057911</v>
      </c>
      <c r="L19" s="42" t="n">
        <f aca="false">L16*L18</f>
        <v>966.834043907176</v>
      </c>
      <c r="M19" s="42" t="n">
        <f aca="false">M16*M18</f>
        <v>613.335346603615</v>
      </c>
      <c r="N19" s="42" t="n">
        <f aca="false">N16*N18</f>
        <v>249.014150721068</v>
      </c>
      <c r="O19" s="42" t="n">
        <f aca="false">O16*O18</f>
        <v>252.749362981884</v>
      </c>
      <c r="P19" s="42" t="n">
        <f aca="false">P16*P18</f>
        <v>0</v>
      </c>
      <c r="Q19" s="42" t="n">
        <f aca="false">Q16*Q18</f>
        <v>0</v>
      </c>
      <c r="R19" s="42" t="n">
        <f aca="false">R16*R18</f>
        <v>925.030901078134</v>
      </c>
    </row>
    <row r="20" customFormat="false" ht="15" hidden="false" customHeight="false" outlineLevel="0" collapsed="false">
      <c r="A20" s="7" t="s">
        <v>585</v>
      </c>
      <c r="C20" s="54" t="n">
        <f aca="false">Inputs!$D$29*Inputs!$G$66</f>
        <v>1034.451</v>
      </c>
    </row>
    <row r="21" customFormat="false" ht="15" hidden="false" customHeight="false" outlineLevel="0" collapsed="false">
      <c r="A21" s="7" t="s">
        <v>586</v>
      </c>
      <c r="B21" s="17" t="s">
        <v>116</v>
      </c>
      <c r="D21" s="42" t="n">
        <f aca="false">MIN(D19,$C$20)</f>
        <v>685.263157894737</v>
      </c>
      <c r="E21" s="42" t="n">
        <f aca="false">MIN(E19,$C$20-SUM($D$21:D21))</f>
        <v>349.187842105263</v>
      </c>
      <c r="F21" s="42" t="n">
        <f aca="false">MIN(F19,$C$20-SUM($D$21:E21))</f>
        <v>0</v>
      </c>
      <c r="G21" s="42" t="n">
        <f aca="false">MIN(G19,$C$20-SUM($D$21:F21))</f>
        <v>0</v>
      </c>
      <c r="H21" s="42" t="n">
        <f aca="false">MIN(H19,$C$20-SUM($D$21:G21))</f>
        <v>0</v>
      </c>
      <c r="I21" s="42" t="n">
        <f aca="false">MIN(I19,$C$20-SUM($D$21:H21))</f>
        <v>0</v>
      </c>
      <c r="J21" s="42" t="n">
        <f aca="false">MIN(J19,$C$20-SUM($D$21:I21))</f>
        <v>0</v>
      </c>
      <c r="K21" s="42" t="n">
        <f aca="false">MIN(K19,$C$20-SUM($D$21:J21))</f>
        <v>0</v>
      </c>
      <c r="L21" s="42" t="n">
        <f aca="false">MIN(L19,$C$20-SUM($D$21:K21))</f>
        <v>0</v>
      </c>
      <c r="M21" s="42" t="n">
        <f aca="false">MIN(M19,$C$20-SUM($D$21:L21))</f>
        <v>0</v>
      </c>
      <c r="N21" s="42" t="n">
        <f aca="false">MIN(N19,$C$20-SUM($D$21:M21))</f>
        <v>0</v>
      </c>
      <c r="O21" s="42" t="n">
        <f aca="false">MIN(O19,$C$20-SUM($D$21:N21))</f>
        <v>0</v>
      </c>
      <c r="P21" s="42" t="n">
        <f aca="false">MIN(P19,$C$20-SUM($D$21:O21))</f>
        <v>0</v>
      </c>
      <c r="Q21" s="42" t="n">
        <f aca="false">MIN(Q19,$C$20-SUM($D$21:P21))</f>
        <v>0</v>
      </c>
      <c r="R21" s="42" t="n">
        <f aca="false">MIN(R19,$C$20-SUM($D$21:Q21))</f>
        <v>0</v>
      </c>
    </row>
    <row r="22" customFormat="false" ht="15" hidden="false" customHeight="false" outlineLevel="0" collapsed="false">
      <c r="A22" s="3" t="s">
        <v>587</v>
      </c>
      <c r="B22" s="17" t="s">
        <v>116</v>
      </c>
      <c r="D22" s="55" t="n">
        <f aca="false">D19-D21</f>
        <v>0</v>
      </c>
      <c r="E22" s="55" t="n">
        <f aca="false">E19-E21</f>
        <v>535.022684210526</v>
      </c>
      <c r="F22" s="55" t="n">
        <f aca="false">F19-F21</f>
        <v>552.631578947368</v>
      </c>
      <c r="G22" s="55" t="n">
        <f aca="false">G19-G21</f>
        <v>224.368421052632</v>
      </c>
      <c r="H22" s="55" t="n">
        <f aca="false">H19-H21</f>
        <v>227.733947368421</v>
      </c>
      <c r="I22" s="55" t="n">
        <f aca="false">I19-I21</f>
        <v>0</v>
      </c>
      <c r="J22" s="55" t="n">
        <f aca="false">J19-J21</f>
        <v>0</v>
      </c>
      <c r="K22" s="55" t="n">
        <f aca="false">K19-K21</f>
        <v>833.477624057911</v>
      </c>
      <c r="L22" s="55" t="n">
        <f aca="false">L19-L21</f>
        <v>966.834043907176</v>
      </c>
      <c r="M22" s="55" t="n">
        <f aca="false">M19-M21</f>
        <v>613.335346603615</v>
      </c>
      <c r="N22" s="55" t="n">
        <f aca="false">N19-N21</f>
        <v>249.014150721068</v>
      </c>
      <c r="O22" s="55" t="n">
        <f aca="false">O19-O21</f>
        <v>252.749362981884</v>
      </c>
      <c r="P22" s="55" t="n">
        <f aca="false">P19-P21</f>
        <v>0</v>
      </c>
      <c r="Q22" s="55" t="n">
        <f aca="false">Q19-Q21</f>
        <v>0</v>
      </c>
      <c r="R22" s="55" t="n">
        <f aca="false">R19-R21</f>
        <v>925.030901078134</v>
      </c>
    </row>
    <row r="23" customFormat="false" ht="15" hidden="false" customHeight="false" outlineLevel="0" collapsed="false">
      <c r="A23" s="5" t="s">
        <v>588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customFormat="false" ht="15" hidden="false" customHeight="false" outlineLevel="0" collapsed="false">
      <c r="A24" s="7" t="s">
        <v>589</v>
      </c>
      <c r="B24" s="17" t="s">
        <v>68</v>
      </c>
      <c r="D24" s="41" t="n">
        <f aca="false">MIN(1,MAX(0,(D17-Inputs!$D$32)/(Inputs!$D$33-Inputs!$D$32)))</f>
        <v>0</v>
      </c>
      <c r="E24" s="41" t="n">
        <f aca="false">MIN(1,MAX(0,(E17-Inputs!$D$32)/(Inputs!$D$33-Inputs!$D$32)))</f>
        <v>0.875</v>
      </c>
      <c r="F24" s="41" t="n">
        <f aca="false">MIN(1,MAX(0,(F17-Inputs!$D$32)/(Inputs!$D$33-Inputs!$D$32)))</f>
        <v>1</v>
      </c>
      <c r="G24" s="41" t="n">
        <f aca="false">MIN(1,MAX(0,(G17-Inputs!$D$32)/(Inputs!$D$33-Inputs!$D$32)))</f>
        <v>1</v>
      </c>
      <c r="H24" s="41" t="n">
        <f aca="false">MIN(1,MAX(0,(H17-Inputs!$D$32)/(Inputs!$D$33-Inputs!$D$32)))</f>
        <v>1</v>
      </c>
      <c r="I24" s="41" t="n">
        <f aca="false">MIN(1,MAX(0,(I17-Inputs!$D$32)/(Inputs!$D$33-Inputs!$D$32)))</f>
        <v>1</v>
      </c>
      <c r="J24" s="41" t="n">
        <f aca="false">MIN(1,MAX(0,(J17-Inputs!$D$32)/(Inputs!$D$33-Inputs!$D$32)))</f>
        <v>1</v>
      </c>
      <c r="K24" s="41" t="n">
        <f aca="false">MIN(1,MAX(0,(K17-Inputs!$D$32)/(Inputs!$D$33-Inputs!$D$32)))</f>
        <v>1</v>
      </c>
      <c r="L24" s="41" t="n">
        <f aca="false">MIN(1,MAX(0,(L17-Inputs!$D$32)/(Inputs!$D$33-Inputs!$D$32)))</f>
        <v>1</v>
      </c>
      <c r="M24" s="41" t="n">
        <f aca="false">MIN(1,MAX(0,(M17-Inputs!$D$32)/(Inputs!$D$33-Inputs!$D$32)))</f>
        <v>1</v>
      </c>
      <c r="N24" s="41" t="n">
        <f aca="false">MIN(1,MAX(0,(N17-Inputs!$D$32)/(Inputs!$D$33-Inputs!$D$32)))</f>
        <v>1</v>
      </c>
      <c r="O24" s="41" t="n">
        <f aca="false">MIN(1,MAX(0,(O17-Inputs!$D$32)/(Inputs!$D$33-Inputs!$D$32)))</f>
        <v>1</v>
      </c>
      <c r="P24" s="41" t="n">
        <f aca="false">MIN(1,MAX(0,(P17-Inputs!$D$32)/(Inputs!$D$33-Inputs!$D$32)))</f>
        <v>1</v>
      </c>
      <c r="Q24" s="41" t="n">
        <f aca="false">MIN(1,MAX(0,(Q17-Inputs!$D$32)/(Inputs!$D$33-Inputs!$D$32)))</f>
        <v>1</v>
      </c>
      <c r="R24" s="41" t="n">
        <f aca="false">MIN(1,MAX(0,(R17-Inputs!$D$32)/(Inputs!$D$33-Inputs!$D$32)))</f>
        <v>1</v>
      </c>
    </row>
    <row r="25" customFormat="false" ht="15" hidden="false" customHeight="false" outlineLevel="0" collapsed="false">
      <c r="A25" s="7" t="s">
        <v>590</v>
      </c>
      <c r="B25" s="17" t="s">
        <v>68</v>
      </c>
      <c r="D25" s="41" t="n">
        <f aca="false">MIN(1,MAX(0,(D17-Inputs!$D$34)/(Inputs!$D$35-Inputs!$D$34)))</f>
        <v>0</v>
      </c>
      <c r="E25" s="41" t="n">
        <f aca="false">MIN(1,MAX(0,(E17-Inputs!$D$34)/(Inputs!$D$35-Inputs!$D$34)))</f>
        <v>0</v>
      </c>
      <c r="F25" s="41" t="n">
        <f aca="false">MIN(1,MAX(0,(F17-Inputs!$D$34)/(Inputs!$D$35-Inputs!$D$34)))</f>
        <v>0.916666666666667</v>
      </c>
      <c r="G25" s="41" t="n">
        <f aca="false">MIN(1,MAX(0,(G17-Inputs!$D$34)/(Inputs!$D$35-Inputs!$D$34)))</f>
        <v>1</v>
      </c>
      <c r="H25" s="41" t="n">
        <f aca="false">MIN(1,MAX(0,(H17-Inputs!$D$34)/(Inputs!$D$35-Inputs!$D$34)))</f>
        <v>1</v>
      </c>
      <c r="I25" s="41" t="n">
        <f aca="false">MIN(1,MAX(0,(I17-Inputs!$D$34)/(Inputs!$D$35-Inputs!$D$34)))</f>
        <v>1</v>
      </c>
      <c r="J25" s="41" t="n">
        <f aca="false">MIN(1,MAX(0,(J17-Inputs!$D$34)/(Inputs!$D$35-Inputs!$D$34)))</f>
        <v>1</v>
      </c>
      <c r="K25" s="41" t="n">
        <f aca="false">MIN(1,MAX(0,(K17-Inputs!$D$34)/(Inputs!$D$35-Inputs!$D$34)))</f>
        <v>1</v>
      </c>
      <c r="L25" s="41" t="n">
        <f aca="false">MIN(1,MAX(0,(L17-Inputs!$D$34)/(Inputs!$D$35-Inputs!$D$34)))</f>
        <v>1</v>
      </c>
      <c r="M25" s="41" t="n">
        <f aca="false">MIN(1,MAX(0,(M17-Inputs!$D$34)/(Inputs!$D$35-Inputs!$D$34)))</f>
        <v>1</v>
      </c>
      <c r="N25" s="41" t="n">
        <f aca="false">MIN(1,MAX(0,(N17-Inputs!$D$34)/(Inputs!$D$35-Inputs!$D$34)))</f>
        <v>1</v>
      </c>
      <c r="O25" s="41" t="n">
        <f aca="false">MIN(1,MAX(0,(O17-Inputs!$D$34)/(Inputs!$D$35-Inputs!$D$34)))</f>
        <v>1</v>
      </c>
      <c r="P25" s="41" t="n">
        <f aca="false">MIN(1,MAX(0,(P17-Inputs!$D$34)/(Inputs!$D$35-Inputs!$D$34)))</f>
        <v>1</v>
      </c>
      <c r="Q25" s="41" t="n">
        <f aca="false">MIN(1,MAX(0,(Q17-Inputs!$D$34)/(Inputs!$D$35-Inputs!$D$34)))</f>
        <v>1</v>
      </c>
      <c r="R25" s="41" t="n">
        <f aca="false">MIN(1,MAX(0,(R17-Inputs!$D$34)/(Inputs!$D$35-Inputs!$D$34)))</f>
        <v>1</v>
      </c>
    </row>
    <row r="26" customFormat="false" ht="15" hidden="false" customHeight="false" outlineLevel="0" collapsed="false">
      <c r="A26" s="7" t="s">
        <v>591</v>
      </c>
      <c r="C26" s="56" t="n">
        <f aca="false">2*LN(19)/Inputs!$G$72</f>
        <v>1.17777559166658</v>
      </c>
    </row>
    <row r="27" customFormat="false" ht="15" hidden="false" customHeight="false" outlineLevel="0" collapsed="false">
      <c r="A27" s="7" t="s">
        <v>592</v>
      </c>
      <c r="B27" s="17" t="s">
        <v>68</v>
      </c>
      <c r="D27" s="48" t="n">
        <f aca="false">IF(D9&gt;=Inputs!$G$68,Inputs!$G$70/(1+EXP(-$C$26*(D9-(Inputs!$G$68+Inputs!$G$72/2)))),0)</f>
        <v>0</v>
      </c>
      <c r="E27" s="48" t="n">
        <f aca="false">IF(E9&gt;=Inputs!$G$68,Inputs!$G$70/(1+EXP(-$C$26*(E9-(Inputs!$G$68+Inputs!$G$72/2)))),0)</f>
        <v>0.0129938317632138</v>
      </c>
      <c r="F27" s="48" t="n">
        <f aca="false">IF(F9&gt;=Inputs!$G$68,Inputs!$G$70/(1+EXP(-$C$26*(F9-(Inputs!$G$68+Inputs!$G$72/2)))),0)</f>
        <v>0.0353178579693449</v>
      </c>
      <c r="G27" s="48" t="n">
        <f aca="false">IF(G9&gt;=Inputs!$G$68,Inputs!$G$70/(1+EXP(-$C$26*(G9-(Inputs!$G$68+Inputs!$G$72/2)))),0)</f>
        <v>0.075</v>
      </c>
      <c r="H27" s="48" t="n">
        <f aca="false">IF(H9&gt;=Inputs!$G$68,Inputs!$G$70/(1+EXP(-$C$26*(H9-(Inputs!$G$68+Inputs!$G$72/2)))),0)</f>
        <v>0.114682142030655</v>
      </c>
      <c r="I27" s="48" t="n">
        <f aca="false">IF(I9&gt;=Inputs!$G$68,Inputs!$G$70/(1+EXP(-$C$26*(I9-(Inputs!$G$68+Inputs!$G$72/2)))),0)</f>
        <v>0.137006168236786</v>
      </c>
      <c r="J27" s="48" t="n">
        <f aca="false">IF(J9&gt;=Inputs!$G$68,Inputs!$G$70/(1+EXP(-$C$26*(J9-(Inputs!$G$68+Inputs!$G$72/2)))),0)</f>
        <v>0.145743193011768</v>
      </c>
      <c r="K27" s="48" t="n">
        <f aca="false">IF(K9&gt;=Inputs!$G$68,Inputs!$G$70/(1+EXP(-$C$26*(K9-(Inputs!$G$68+Inputs!$G$72/2)))),0)</f>
        <v>0.14866279945423</v>
      </c>
      <c r="L27" s="48" t="n">
        <f aca="false">IF(L9&gt;=Inputs!$G$68,Inputs!$G$70/(1+EXP(-$C$26*(L9-(Inputs!$G$68+Inputs!$G$72/2)))),0)</f>
        <v>0.149585635359116</v>
      </c>
      <c r="M27" s="48" t="n">
        <f aca="false">IF(M9&gt;=Inputs!$G$68,Inputs!$G$70/(1+EXP(-$C$26*(M9-(Inputs!$G$68+Inputs!$G$72/2)))),0)</f>
        <v>0.149872146598905</v>
      </c>
      <c r="N27" s="48" t="n">
        <f aca="false">IF(N9&gt;=Inputs!$G$68,Inputs!$G$70/(1+EXP(-$C$26*(N9-(Inputs!$G$68+Inputs!$G$72/2)))),0)</f>
        <v>0.149960602642408</v>
      </c>
      <c r="O27" s="48" t="n">
        <f aca="false">IF(O9&gt;=Inputs!$G$68,Inputs!$G$70/(1+EXP(-$C$26*(O9-(Inputs!$G$68+Inputs!$G$72/2)))),0)</f>
        <v>0.149987864865345</v>
      </c>
      <c r="P27" s="48" t="n">
        <f aca="false">IF(P9&gt;=Inputs!$G$68,Inputs!$G$70/(1+EXP(-$C$26*(P9-(Inputs!$G$68+Inputs!$G$72/2)))),0)</f>
        <v>0.149996262618129</v>
      </c>
      <c r="Q27" s="48" t="n">
        <f aca="false">IF(Q9&gt;=Inputs!$G$68,Inputs!$G$70/(1+EXP(-$C$26*(Q9-(Inputs!$G$68+Inputs!$G$72/2)))),0)</f>
        <v>0.149998849004773</v>
      </c>
      <c r="R27" s="48" t="n">
        <f aca="false">IF(R9&gt;=Inputs!$G$68,Inputs!$G$70/(1+EXP(-$C$26*(R9-(Inputs!$G$68+Inputs!$G$72/2)))),0)</f>
        <v>0.14999964553416</v>
      </c>
    </row>
    <row r="28" customFormat="false" ht="15" hidden="false" customHeight="false" outlineLevel="0" collapsed="false">
      <c r="A28" s="7" t="s">
        <v>593</v>
      </c>
      <c r="B28" s="17" t="s">
        <v>68</v>
      </c>
      <c r="D28" s="48" t="n">
        <f aca="false">IF(D9&gt;=Inputs!$G$69,Inputs!$G$71/(1+EXP(-$C$26*(D9-(Inputs!$G$69+Inputs!$G$72/2)))),0)</f>
        <v>0</v>
      </c>
      <c r="E28" s="48" t="n">
        <f aca="false">IF(E9&gt;=Inputs!$G$69,Inputs!$G$71/(1+EXP(-$C$26*(E9-(Inputs!$G$69+Inputs!$G$72/2)))),0)</f>
        <v>0</v>
      </c>
      <c r="F28" s="48" t="n">
        <f aca="false">IF(F9&gt;=Inputs!$G$69,Inputs!$G$71/(1+EXP(-$C$26*(F9-(Inputs!$G$69+Inputs!$G$72/2)))),0)</f>
        <v>0.00433127725440461</v>
      </c>
      <c r="G28" s="48" t="n">
        <f aca="false">IF(G9&gt;=Inputs!$G$69,Inputs!$G$71/(1+EXP(-$C$26*(G9-(Inputs!$G$69+Inputs!$G$72/2)))),0)</f>
        <v>0.011772619323115</v>
      </c>
      <c r="H28" s="48" t="n">
        <f aca="false">IF(H9&gt;=Inputs!$G$69,Inputs!$G$71/(1+EXP(-$C$26*(H9-(Inputs!$G$69+Inputs!$G$72/2)))),0)</f>
        <v>0.025</v>
      </c>
      <c r="I28" s="48" t="n">
        <f aca="false">IF(I9&gt;=Inputs!$G$69,Inputs!$G$71/(1+EXP(-$C$26*(I9-(Inputs!$G$69+Inputs!$G$72/2)))),0)</f>
        <v>0.038227380676885</v>
      </c>
      <c r="J28" s="48" t="n">
        <f aca="false">IF(J9&gt;=Inputs!$G$69,Inputs!$G$71/(1+EXP(-$C$26*(J9-(Inputs!$G$69+Inputs!$G$72/2)))),0)</f>
        <v>0.0456687227455954</v>
      </c>
      <c r="K28" s="48" t="n">
        <f aca="false">IF(K9&gt;=Inputs!$G$69,Inputs!$G$71/(1+EXP(-$C$26*(K9-(Inputs!$G$69+Inputs!$G$72/2)))),0)</f>
        <v>0.0485810643372559</v>
      </c>
      <c r="L28" s="48" t="n">
        <f aca="false">IF(L9&gt;=Inputs!$G$69,Inputs!$G$71/(1+EXP(-$C$26*(L9-(Inputs!$G$69+Inputs!$G$72/2)))),0)</f>
        <v>0.0495542664847433</v>
      </c>
      <c r="M28" s="48" t="n">
        <f aca="false">IF(M9&gt;=Inputs!$G$69,Inputs!$G$71/(1+EXP(-$C$26*(M9-(Inputs!$G$69+Inputs!$G$72/2)))),0)</f>
        <v>0.0498618784530387</v>
      </c>
      <c r="N28" s="48" t="n">
        <f aca="false">IF(N9&gt;=Inputs!$G$69,Inputs!$G$71/(1+EXP(-$C$26*(N9-(Inputs!$G$69+Inputs!$G$72/2)))),0)</f>
        <v>0.0499573821996351</v>
      </c>
      <c r="O28" s="48" t="n">
        <f aca="false">IF(O9&gt;=Inputs!$G$69,Inputs!$G$71/(1+EXP(-$C$26*(O9-(Inputs!$G$69+Inputs!$G$72/2)))),0)</f>
        <v>0.0499868675474693</v>
      </c>
      <c r="P28" s="48" t="n">
        <f aca="false">IF(P9&gt;=Inputs!$G$69,Inputs!$G$71/(1+EXP(-$C$26*(P9-(Inputs!$G$69+Inputs!$G$72/2)))),0)</f>
        <v>0.0499959549551148</v>
      </c>
      <c r="Q28" s="48" t="n">
        <f aca="false">IF(Q9&gt;=Inputs!$G$69,Inputs!$G$71/(1+EXP(-$C$26*(Q9-(Inputs!$G$69+Inputs!$G$72/2)))),0)</f>
        <v>0.0499987542060429</v>
      </c>
      <c r="R28" s="48" t="n">
        <f aca="false">IF(R9&gt;=Inputs!$G$69,Inputs!$G$71/(1+EXP(-$C$26*(R9-(Inputs!$G$69+Inputs!$G$72/2)))),0)</f>
        <v>0.0499996163349243</v>
      </c>
    </row>
    <row r="29" customFormat="false" ht="15" hidden="false" customHeight="false" outlineLevel="0" collapsed="false">
      <c r="A29" s="7" t="s">
        <v>594</v>
      </c>
      <c r="B29" s="17" t="s">
        <v>141</v>
      </c>
      <c r="D29" s="42" t="n">
        <f aca="false">Inputs!$D$30*(1+Inputs!$D$51)^MAX(0,D$6-2026)</f>
        <v>3000</v>
      </c>
      <c r="E29" s="42" t="n">
        <f aca="false">Inputs!$D$30*(1+Inputs!$D$51)^MAX(0,E$6-2026)</f>
        <v>3030</v>
      </c>
      <c r="F29" s="42" t="n">
        <f aca="false">Inputs!$D$30*(1+Inputs!$D$51)^MAX(0,F$6-2026)</f>
        <v>3060.3</v>
      </c>
      <c r="G29" s="42" t="n">
        <f aca="false">Inputs!$D$30*(1+Inputs!$D$51)^MAX(0,G$6-2026)</f>
        <v>3090.903</v>
      </c>
      <c r="H29" s="42" t="n">
        <f aca="false">Inputs!$D$30*(1+Inputs!$D$51)^MAX(0,H$6-2026)</f>
        <v>3121.81203</v>
      </c>
      <c r="I29" s="42" t="n">
        <f aca="false">Inputs!$D$30*(1+Inputs!$D$51)^MAX(0,I$6-2026)</f>
        <v>3153.0301503</v>
      </c>
      <c r="J29" s="42" t="n">
        <f aca="false">Inputs!$D$30*(1+Inputs!$D$51)^MAX(0,J$6-2026)</f>
        <v>3184.560451803</v>
      </c>
      <c r="K29" s="42" t="n">
        <f aca="false">Inputs!$D$30*(1+Inputs!$D$51)^MAX(0,K$6-2026)</f>
        <v>3216.40605632103</v>
      </c>
      <c r="L29" s="42" t="n">
        <f aca="false">Inputs!$D$30*(1+Inputs!$D$51)^MAX(0,L$6-2026)</f>
        <v>3248.57011688424</v>
      </c>
      <c r="M29" s="42" t="n">
        <f aca="false">Inputs!$D$30*(1+Inputs!$D$51)^MAX(0,M$6-2026)</f>
        <v>3281.05581805308</v>
      </c>
      <c r="N29" s="42" t="n">
        <f aca="false">Inputs!$D$30*(1+Inputs!$D$51)^MAX(0,N$6-2026)</f>
        <v>3313.86637623361</v>
      </c>
      <c r="O29" s="42" t="n">
        <f aca="false">Inputs!$D$30*(1+Inputs!$D$51)^MAX(0,O$6-2026)</f>
        <v>3347.00503999595</v>
      </c>
      <c r="P29" s="42" t="n">
        <f aca="false">Inputs!$D$30*(1+Inputs!$D$51)^MAX(0,P$6-2026)</f>
        <v>3380.47509039591</v>
      </c>
      <c r="Q29" s="42" t="n">
        <f aca="false">Inputs!$D$30*(1+Inputs!$D$51)^MAX(0,Q$6-2026)</f>
        <v>3414.27984129987</v>
      </c>
      <c r="R29" s="42" t="n">
        <f aca="false">Inputs!$D$30*(1+Inputs!$D$51)^MAX(0,R$6-2026)</f>
        <v>3448.42263971287</v>
      </c>
    </row>
    <row r="30" customFormat="false" ht="15" hidden="false" customHeight="false" outlineLevel="0" collapsed="false">
      <c r="A30" s="7" t="s">
        <v>595</v>
      </c>
      <c r="B30" s="17" t="s">
        <v>141</v>
      </c>
      <c r="D30" s="42" t="n">
        <f aca="false">D29*Inputs!$D$31*D24*D27</f>
        <v>0</v>
      </c>
      <c r="E30" s="42" t="n">
        <f aca="false">E29*Inputs!$D$31*E24*E27</f>
        <v>8.61247411555516</v>
      </c>
      <c r="F30" s="42" t="n">
        <f aca="false">F29*Inputs!$D$31*F24*F27</f>
        <v>27.0208101858966</v>
      </c>
      <c r="G30" s="42" t="n">
        <f aca="false">G29*Inputs!$D$31*G24*G27</f>
        <v>57.95443125</v>
      </c>
      <c r="H30" s="42" t="n">
        <f aca="false">H29*Inputs!$D$31*H24*H27</f>
        <v>89.5040226543669</v>
      </c>
      <c r="I30" s="42" t="n">
        <f aca="false">I29*Inputs!$D$31*I24*I27</f>
        <v>107.996144806915</v>
      </c>
      <c r="J30" s="42" t="n">
        <f aca="false">J29*Inputs!$D$31*J24*J27</f>
        <v>116.032002146192</v>
      </c>
      <c r="K30" s="42" t="n">
        <f aca="false">K29*Inputs!$D$31*K24*K27</f>
        <v>119.539982128556</v>
      </c>
      <c r="L30" s="42" t="n">
        <f aca="false">L29*Inputs!$D$31*L24*L27</f>
        <v>121.484856235692</v>
      </c>
      <c r="M30" s="42" t="n">
        <f aca="false">M29*Inputs!$D$31*M24*M27</f>
        <v>122.934719640611</v>
      </c>
      <c r="N30" s="42" t="n">
        <f aca="false">N29*Inputs!$D$31*N24*N27</f>
        <v>124.237349714101</v>
      </c>
      <c r="O30" s="42" t="n">
        <f aca="false">O29*Inputs!$D$31*O24*O27</f>
        <v>125.502534910635</v>
      </c>
      <c r="P30" s="42" t="n">
        <f aca="false">P29*Inputs!$D$31*P24*P27</f>
        <v>126.764657358267</v>
      </c>
      <c r="Q30" s="42" t="n">
        <f aca="false">Q29*Inputs!$D$31*Q24*Q27</f>
        <v>128.034511593795</v>
      </c>
      <c r="R30" s="42" t="n">
        <f aca="false">R29*Inputs!$D$31*R24*R27</f>
        <v>129.315543402226</v>
      </c>
    </row>
    <row r="31" customFormat="false" ht="15" hidden="false" customHeight="false" outlineLevel="0" collapsed="false">
      <c r="A31" s="7" t="s">
        <v>596</v>
      </c>
      <c r="B31" s="17" t="s">
        <v>141</v>
      </c>
      <c r="D31" s="42" t="n">
        <f aca="false">D29*(1-Inputs!$D$31)*D25*D28</f>
        <v>0</v>
      </c>
      <c r="E31" s="42" t="n">
        <f aca="false">E29*(1-Inputs!$D$31)*E25*E28</f>
        <v>0</v>
      </c>
      <c r="F31" s="42" t="n">
        <f aca="false">F29*(1-Inputs!$D$31)*F25*F28</f>
        <v>9.11281784988741</v>
      </c>
      <c r="G31" s="42" t="n">
        <f aca="false">G29*(1-Inputs!$D$31)*G25*G28</f>
        <v>27.2910182877556</v>
      </c>
      <c r="H31" s="42" t="n">
        <f aca="false">H29*(1-Inputs!$D$31)*H25*H28</f>
        <v>58.5339755625</v>
      </c>
      <c r="I31" s="42" t="n">
        <f aca="false">I29*(1-Inputs!$D$31)*I25*I28</f>
        <v>90.3990628809106</v>
      </c>
      <c r="J31" s="42" t="n">
        <f aca="false">J29*(1-Inputs!$D$31)*J25*J28</f>
        <v>109.076106254984</v>
      </c>
      <c r="K31" s="42" t="n">
        <f aca="false">K29*(1-Inputs!$D$31)*K25*K28</f>
        <v>117.192322167654</v>
      </c>
      <c r="L31" s="42" t="n">
        <f aca="false">L29*(1-Inputs!$D$31)*L25*L28</f>
        <v>120.735381949842</v>
      </c>
      <c r="M31" s="42" t="n">
        <f aca="false">M29*(1-Inputs!$D$31)*M25*M28</f>
        <v>122.699704798049</v>
      </c>
      <c r="N31" s="42" t="n">
        <f aca="false">N29*(1-Inputs!$D$31)*N25*N28</f>
        <v>124.164066837017</v>
      </c>
      <c r="O31" s="42" t="n">
        <f aca="false">O29*(1-Inputs!$D$31)*O25*O28</f>
        <v>125.479723211242</v>
      </c>
      <c r="P31" s="42" t="n">
        <f aca="false">P29*(1-Inputs!$D$31)*P25*P28</f>
        <v>126.757560259741</v>
      </c>
      <c r="Q31" s="42" t="n">
        <f aca="false">Q29*(1-Inputs!$D$31)*Q25*Q28</f>
        <v>128.032303931849</v>
      </c>
      <c r="R31" s="42" t="n">
        <f aca="false">R29*(1-Inputs!$D$31)*R25*R28</f>
        <v>129.314856709733</v>
      </c>
    </row>
    <row r="32" customFormat="false" ht="15" hidden="false" customHeight="false" outlineLevel="0" collapsed="false">
      <c r="A32" s="7" t="s">
        <v>597</v>
      </c>
      <c r="B32" s="17" t="s">
        <v>75</v>
      </c>
      <c r="D32" s="45" t="n">
        <f aca="false">(1+Inputs!$G$75)^MIN(MAX(0,D$6-2027),Inputs!$D$49-2027)*(1+Inputs!$D$50)^MAX(0,D$6-Inputs!$D$49)</f>
        <v>1</v>
      </c>
      <c r="E32" s="45" t="n">
        <f aca="false">(1+Inputs!$G$75)^MIN(MAX(0,E$6-2027),Inputs!$D$49-2027)*(1+Inputs!$D$50)^MAX(0,E$6-Inputs!$D$49)</f>
        <v>1</v>
      </c>
      <c r="F32" s="45" t="n">
        <f aca="false">(1+Inputs!$G$75)^MIN(MAX(0,F$6-2027),Inputs!$D$49-2027)*(1+Inputs!$D$50)^MAX(0,F$6-Inputs!$D$49)</f>
        <v>1</v>
      </c>
      <c r="G32" s="45" t="n">
        <f aca="false">(1+Inputs!$G$75)^MIN(MAX(0,G$6-2027),Inputs!$D$49-2027)*(1+Inputs!$D$50)^MAX(0,G$6-Inputs!$D$49)</f>
        <v>1</v>
      </c>
      <c r="H32" s="45" t="n">
        <f aca="false">(1+Inputs!$G$75)^MIN(MAX(0,H$6-2027),Inputs!$D$49-2027)*(1+Inputs!$D$50)^MAX(0,H$6-Inputs!$D$49)</f>
        <v>1</v>
      </c>
      <c r="I32" s="45" t="n">
        <f aca="false">(1+Inputs!$G$75)^MIN(MAX(0,I$6-2027),Inputs!$D$49-2027)*(1+Inputs!$D$50)^MAX(0,I$6-Inputs!$D$49)</f>
        <v>1</v>
      </c>
      <c r="J32" s="45" t="n">
        <f aca="false">(1+Inputs!$G$75)^MIN(MAX(0,J$6-2027),Inputs!$D$49-2027)*(1+Inputs!$D$50)^MAX(0,J$6-Inputs!$D$49)</f>
        <v>1</v>
      </c>
      <c r="K32" s="45" t="n">
        <f aca="false">(1+Inputs!$G$75)^MIN(MAX(0,K$6-2027),Inputs!$D$49-2027)*(1+Inputs!$D$50)^MAX(0,K$6-Inputs!$D$49)</f>
        <v>1.015</v>
      </c>
      <c r="L32" s="45" t="n">
        <f aca="false">(1+Inputs!$G$75)^MIN(MAX(0,L$6-2027),Inputs!$D$49-2027)*(1+Inputs!$D$50)^MAX(0,L$6-Inputs!$D$49)</f>
        <v>1.030225</v>
      </c>
      <c r="M32" s="45" t="n">
        <f aca="false">(1+Inputs!$G$75)^MIN(MAX(0,M$6-2027),Inputs!$D$49-2027)*(1+Inputs!$D$50)^MAX(0,M$6-Inputs!$D$49)</f>
        <v>1.045678375</v>
      </c>
      <c r="N32" s="45" t="n">
        <f aca="false">(1+Inputs!$G$75)^MIN(MAX(0,N$6-2027),Inputs!$D$49-2027)*(1+Inputs!$D$50)^MAX(0,N$6-Inputs!$D$49)</f>
        <v>1.061363550625</v>
      </c>
      <c r="O32" s="45" t="n">
        <f aca="false">(1+Inputs!$G$75)^MIN(MAX(0,O$6-2027),Inputs!$D$49-2027)*(1+Inputs!$D$50)^MAX(0,O$6-Inputs!$D$49)</f>
        <v>1.07728400388437</v>
      </c>
      <c r="P32" s="45" t="n">
        <f aca="false">(1+Inputs!$G$75)^MIN(MAX(0,P$6-2027),Inputs!$D$49-2027)*(1+Inputs!$D$50)^MAX(0,P$6-Inputs!$D$49)</f>
        <v>1.09344326394264</v>
      </c>
      <c r="Q32" s="45" t="n">
        <f aca="false">(1+Inputs!$G$75)^MIN(MAX(0,Q$6-2027),Inputs!$D$49-2027)*(1+Inputs!$D$50)^MAX(0,Q$6-Inputs!$D$49)</f>
        <v>1.10984491290178</v>
      </c>
      <c r="R32" s="45" t="n">
        <f aca="false">(1+Inputs!$G$75)^MIN(MAX(0,R$6-2027),Inputs!$D$49-2027)*(1+Inputs!$D$50)^MAX(0,R$6-Inputs!$D$49)</f>
        <v>1.12649258659531</v>
      </c>
    </row>
    <row r="33" customFormat="false" ht="15" hidden="false" customHeight="false" outlineLevel="0" collapsed="false">
      <c r="A33" s="7" t="s">
        <v>598</v>
      </c>
      <c r="B33" s="17" t="s">
        <v>116</v>
      </c>
      <c r="D33" s="42" t="n">
        <f aca="false">D30*Inputs!$G$73*D32*12*D7</f>
        <v>0</v>
      </c>
      <c r="E33" s="42" t="n">
        <f aca="false">E30*Inputs!$G$73*E32*12*E7</f>
        <v>620.098136319971</v>
      </c>
      <c r="F33" s="42" t="n">
        <f aca="false">F30*Inputs!$G$73*F32*12*F7</f>
        <v>1945.49833338455</v>
      </c>
      <c r="G33" s="42" t="n">
        <f aca="false">G30*Inputs!$G$73*G32*12*G7</f>
        <v>4172.71905</v>
      </c>
      <c r="H33" s="42" t="n">
        <f aca="false">H30*Inputs!$G$73*H32*12*H7</f>
        <v>6444.28963111442</v>
      </c>
      <c r="I33" s="42" t="n">
        <f aca="false">I30*Inputs!$G$73*I32*12*I7</f>
        <v>7775.7224260979</v>
      </c>
      <c r="J33" s="42" t="n">
        <f aca="false">J30*Inputs!$G$73*J32*12*J7</f>
        <v>8354.3041545258</v>
      </c>
      <c r="K33" s="42" t="n">
        <f aca="false">K30*Inputs!$G$73*K32*12*K7</f>
        <v>8735.98189395487</v>
      </c>
      <c r="L33" s="42" t="n">
        <f aca="false">L30*Inputs!$G$73*L32*12*L7</f>
        <v>9011.28499310991</v>
      </c>
      <c r="M33" s="42" t="n">
        <f aca="false">M30*Inputs!$G$73*M32*12*M7</f>
        <v>9255.61280627095</v>
      </c>
      <c r="N33" s="42" t="n">
        <f aca="false">N30*Inputs!$G$73*N32*12*N7</f>
        <v>9493.99161212148</v>
      </c>
      <c r="O33" s="42" t="n">
        <f aca="false">O30*Inputs!$G$73*O32*12*O7</f>
        <v>9734.53487804404</v>
      </c>
      <c r="P33" s="42" t="n">
        <f aca="false">P30*Inputs!$G$73*P32*12*P7</f>
        <v>9979.91716999634</v>
      </c>
      <c r="Q33" s="42" t="n">
        <f aca="false">Q30*Inputs!$G$73*Q32*12*Q7</f>
        <v>10231.0884985131</v>
      </c>
      <c r="R33" s="42" t="n">
        <f aca="false">R30*Inputs!$G$73*R32*12*R7</f>
        <v>10488.4560701388</v>
      </c>
    </row>
    <row r="34" customFormat="false" ht="15" hidden="false" customHeight="false" outlineLevel="0" collapsed="false">
      <c r="A34" s="7" t="s">
        <v>599</v>
      </c>
      <c r="B34" s="17" t="s">
        <v>116</v>
      </c>
      <c r="D34" s="42" t="n">
        <f aca="false">D31*Inputs!$G$74*D32*12*D7</f>
        <v>0</v>
      </c>
      <c r="E34" s="42" t="n">
        <f aca="false">E31*Inputs!$G$74*E32*12*E7</f>
        <v>0</v>
      </c>
      <c r="F34" s="42" t="n">
        <f aca="false">F31*Inputs!$G$74*F32*12*F7</f>
        <v>109.353814198649</v>
      </c>
      <c r="G34" s="42" t="n">
        <f aca="false">G31*Inputs!$G$74*G32*12*G7</f>
        <v>327.492219453067</v>
      </c>
      <c r="H34" s="42" t="n">
        <f aca="false">H31*Inputs!$G$74*H32*12*H7</f>
        <v>702.40770675</v>
      </c>
      <c r="I34" s="42" t="n">
        <f aca="false">I31*Inputs!$G$74*I32*12*I7</f>
        <v>1084.78875457093</v>
      </c>
      <c r="J34" s="42" t="n">
        <f aca="false">J31*Inputs!$G$74*J32*12*J7</f>
        <v>1308.91327505981</v>
      </c>
      <c r="K34" s="42" t="n">
        <f aca="false">K31*Inputs!$G$74*K32*12*K7</f>
        <v>1427.40248400202</v>
      </c>
      <c r="L34" s="42" t="n">
        <f aca="false">L31*Inputs!$G$74*L32*12*L7</f>
        <v>1492.61530643131</v>
      </c>
      <c r="M34" s="42" t="n">
        <f aca="false">M31*Inputs!$G$74*M32*12*M7</f>
        <v>1539.65313511444</v>
      </c>
      <c r="N34" s="42" t="n">
        <f aca="false">N31*Inputs!$G$74*N32*12*N7</f>
        <v>1581.39857805811</v>
      </c>
      <c r="O34" s="42" t="n">
        <f aca="false">O31*Inputs!$G$74*O32*12*O7</f>
        <v>1622.12758352772</v>
      </c>
      <c r="P34" s="42" t="n">
        <f aca="false">P31*Inputs!$G$74*P32*12*P7</f>
        <v>1663.22640503781</v>
      </c>
      <c r="Q34" s="42" t="n">
        <f aca="false">Q31*Inputs!$G$74*Q32*12*Q7</f>
        <v>1705.15201447029</v>
      </c>
      <c r="R34" s="42" t="n">
        <f aca="false">R31*Inputs!$G$74*R32*12*R7</f>
        <v>1748.06672904178</v>
      </c>
    </row>
    <row r="35" customFormat="false" ht="15" hidden="false" customHeight="false" outlineLevel="0" collapsed="false">
      <c r="A35" s="7" t="s">
        <v>600</v>
      </c>
      <c r="B35" s="17" t="s">
        <v>116</v>
      </c>
      <c r="D35" s="42" t="n">
        <f aca="false">IF(D$6=2026,Inputs!$G$78,IF(D$6=2027,Inputs!$G$79,IF(D$6=2028,Inputs!$G$80,IF(D$6=2029,Inputs!$G$81,Inputs!$G$82*(1+Inputs!$G$83)^(D$6-2030)))))</f>
        <v>50</v>
      </c>
      <c r="E35" s="42" t="n">
        <f aca="false">IF(E$6=2026,Inputs!$G$78,IF(E$6=2027,Inputs!$G$79,IF(E$6=2028,Inputs!$G$80,IF(E$6=2029,Inputs!$G$81,Inputs!$G$82*(1+Inputs!$G$83)^(E$6-2030)))))</f>
        <v>130</v>
      </c>
      <c r="F35" s="42" t="n">
        <f aca="false">IF(F$6=2026,Inputs!$G$78,IF(F$6=2027,Inputs!$G$79,IF(F$6=2028,Inputs!$G$80,IF(F$6=2029,Inputs!$G$81,Inputs!$G$82*(1+Inputs!$G$83)^(F$6-2030)))))</f>
        <v>220</v>
      </c>
      <c r="G35" s="42" t="n">
        <f aca="false">IF(G$6=2026,Inputs!$G$78,IF(G$6=2027,Inputs!$G$79,IF(G$6=2028,Inputs!$G$80,IF(G$6=2029,Inputs!$G$81,Inputs!$G$82*(1+Inputs!$G$83)^(G$6-2030)))))</f>
        <v>320</v>
      </c>
      <c r="H35" s="42" t="n">
        <f aca="false">IF(H$6=2026,Inputs!$G$78,IF(H$6=2027,Inputs!$G$79,IF(H$6=2028,Inputs!$G$80,IF(H$6=2029,Inputs!$G$81,Inputs!$G$82*(1+Inputs!$G$83)^(H$6-2030)))))</f>
        <v>420</v>
      </c>
      <c r="I35" s="42" t="n">
        <f aca="false">IF(I$6=2026,Inputs!$G$78,IF(I$6=2027,Inputs!$G$79,IF(I$6=2028,Inputs!$G$80,IF(I$6=2029,Inputs!$G$81,Inputs!$G$82*(1+Inputs!$G$83)^(I$6-2030)))))</f>
        <v>453.6</v>
      </c>
      <c r="J35" s="42" t="n">
        <f aca="false">IF(J$6=2026,Inputs!$G$78,IF(J$6=2027,Inputs!$G$79,IF(J$6=2028,Inputs!$G$80,IF(J$6=2029,Inputs!$G$81,Inputs!$G$82*(1+Inputs!$G$83)^(J$6-2030)))))</f>
        <v>489.888</v>
      </c>
      <c r="K35" s="42" t="n">
        <f aca="false">IF(K$6=2026,Inputs!$G$78,IF(K$6=2027,Inputs!$G$79,IF(K$6=2028,Inputs!$G$80,IF(K$6=2029,Inputs!$G$81,Inputs!$G$82*(1+Inputs!$G$83)^(K$6-2030)))))</f>
        <v>529.07904</v>
      </c>
      <c r="L35" s="42" t="n">
        <f aca="false">IF(L$6=2026,Inputs!$G$78,IF(L$6=2027,Inputs!$G$79,IF(L$6=2028,Inputs!$G$80,IF(L$6=2029,Inputs!$G$81,Inputs!$G$82*(1+Inputs!$G$83)^(L$6-2030)))))</f>
        <v>571.4053632</v>
      </c>
      <c r="M35" s="42" t="n">
        <f aca="false">IF(M$6=2026,Inputs!$G$78,IF(M$6=2027,Inputs!$G$79,IF(M$6=2028,Inputs!$G$80,IF(M$6=2029,Inputs!$G$81,Inputs!$G$82*(1+Inputs!$G$83)^(M$6-2030)))))</f>
        <v>617.117792256</v>
      </c>
      <c r="N35" s="42" t="n">
        <f aca="false">IF(N$6=2026,Inputs!$G$78,IF(N$6=2027,Inputs!$G$79,IF(N$6=2028,Inputs!$G$80,IF(N$6=2029,Inputs!$G$81,Inputs!$G$82*(1+Inputs!$G$83)^(N$6-2030)))))</f>
        <v>666.48721563648</v>
      </c>
      <c r="O35" s="42" t="n">
        <f aca="false">IF(O$6=2026,Inputs!$G$78,IF(O$6=2027,Inputs!$G$79,IF(O$6=2028,Inputs!$G$80,IF(O$6=2029,Inputs!$G$81,Inputs!$G$82*(1+Inputs!$G$83)^(O$6-2030)))))</f>
        <v>719.806192887399</v>
      </c>
      <c r="P35" s="42" t="n">
        <f aca="false">IF(P$6=2026,Inputs!$G$78,IF(P$6=2027,Inputs!$G$79,IF(P$6=2028,Inputs!$G$80,IF(P$6=2029,Inputs!$G$81,Inputs!$G$82*(1+Inputs!$G$83)^(P$6-2030)))))</f>
        <v>777.390688318391</v>
      </c>
      <c r="Q35" s="42" t="n">
        <f aca="false">IF(Q$6=2026,Inputs!$G$78,IF(Q$6=2027,Inputs!$G$79,IF(Q$6=2028,Inputs!$G$80,IF(Q$6=2029,Inputs!$G$81,Inputs!$G$82*(1+Inputs!$G$83)^(Q$6-2030)))))</f>
        <v>839.581943383862</v>
      </c>
      <c r="R35" s="42" t="n">
        <f aca="false">IF(R$6=2026,Inputs!$G$78,IF(R$6=2027,Inputs!$G$79,IF(R$6=2028,Inputs!$G$80,IF(R$6=2029,Inputs!$G$81,Inputs!$G$82*(1+Inputs!$G$83)^(R$6-2030)))))</f>
        <v>906.748498854571</v>
      </c>
    </row>
    <row r="36" customFormat="false" ht="15" hidden="false" customHeight="false" outlineLevel="0" collapsed="false">
      <c r="A36" s="7" t="s">
        <v>601</v>
      </c>
      <c r="B36" s="17" t="s">
        <v>116</v>
      </c>
      <c r="D36" s="16" t="n">
        <f aca="false">IF(D$6=2026,Inputs!$G$84,IF(D$6=2027,Inputs!$G$85,IF(D$6=2028,Inputs!$G$86,Inputs!$G$87)))</f>
        <v>90</v>
      </c>
      <c r="E36" s="16" t="n">
        <f aca="false">IF(E$6=2026,Inputs!$G$84,IF(E$6=2027,Inputs!$G$85,IF(E$6=2028,Inputs!$G$86,Inputs!$G$87)))</f>
        <v>150</v>
      </c>
      <c r="F36" s="16" t="n">
        <f aca="false">IF(F$6=2026,Inputs!$G$84,IF(F$6=2027,Inputs!$G$85,IF(F$6=2028,Inputs!$G$86,Inputs!$G$87)))</f>
        <v>100</v>
      </c>
      <c r="G36" s="16" t="n">
        <f aca="false">IF(G$6=2026,Inputs!$G$84,IF(G$6=2027,Inputs!$G$85,IF(G$6=2028,Inputs!$G$86,Inputs!$G$87)))</f>
        <v>50</v>
      </c>
      <c r="H36" s="16" t="n">
        <f aca="false">IF(H$6=2026,Inputs!$G$84,IF(H$6=2027,Inputs!$G$85,IF(H$6=2028,Inputs!$G$86,Inputs!$G$87)))</f>
        <v>50</v>
      </c>
      <c r="I36" s="16" t="n">
        <f aca="false">IF(I$6=2026,Inputs!$G$84,IF(I$6=2027,Inputs!$G$85,IF(I$6=2028,Inputs!$G$86,Inputs!$G$87)))</f>
        <v>50</v>
      </c>
      <c r="J36" s="16" t="n">
        <f aca="false">IF(J$6=2026,Inputs!$G$84,IF(J$6=2027,Inputs!$G$85,IF(J$6=2028,Inputs!$G$86,Inputs!$G$87)))</f>
        <v>50</v>
      </c>
      <c r="K36" s="16" t="n">
        <f aca="false">IF(K$6=2026,Inputs!$G$84,IF(K$6=2027,Inputs!$G$85,IF(K$6=2028,Inputs!$G$86,Inputs!$G$87)))</f>
        <v>50</v>
      </c>
      <c r="L36" s="16" t="n">
        <f aca="false">IF(L$6=2026,Inputs!$G$84,IF(L$6=2027,Inputs!$G$85,IF(L$6=2028,Inputs!$G$86,Inputs!$G$87)))</f>
        <v>50</v>
      </c>
      <c r="M36" s="16" t="n">
        <f aca="false">IF(M$6=2026,Inputs!$G$84,IF(M$6=2027,Inputs!$G$85,IF(M$6=2028,Inputs!$G$86,Inputs!$G$87)))</f>
        <v>50</v>
      </c>
      <c r="N36" s="16" t="n">
        <f aca="false">IF(N$6=2026,Inputs!$G$84,IF(N$6=2027,Inputs!$G$85,IF(N$6=2028,Inputs!$G$86,Inputs!$G$87)))</f>
        <v>50</v>
      </c>
      <c r="O36" s="16" t="n">
        <f aca="false">IF(O$6=2026,Inputs!$G$84,IF(O$6=2027,Inputs!$G$85,IF(O$6=2028,Inputs!$G$86,Inputs!$G$87)))</f>
        <v>50</v>
      </c>
      <c r="P36" s="16" t="n">
        <f aca="false">IF(P$6=2026,Inputs!$G$84,IF(P$6=2027,Inputs!$G$85,IF(P$6=2028,Inputs!$G$86,Inputs!$G$87)))</f>
        <v>50</v>
      </c>
      <c r="Q36" s="16" t="n">
        <f aca="false">IF(Q$6=2026,Inputs!$G$84,IF(Q$6=2027,Inputs!$G$85,IF(Q$6=2028,Inputs!$G$86,Inputs!$G$87)))</f>
        <v>50</v>
      </c>
      <c r="R36" s="16" t="n">
        <f aca="false">IF(R$6=2026,Inputs!$G$84,IF(R$6=2027,Inputs!$G$85,IF(R$6=2028,Inputs!$G$86,Inputs!$G$87)))</f>
        <v>50</v>
      </c>
    </row>
    <row r="37" customFormat="false" ht="15" hidden="false" customHeight="false" outlineLevel="0" collapsed="false">
      <c r="A37" s="3" t="s">
        <v>602</v>
      </c>
      <c r="B37" s="17" t="s">
        <v>116</v>
      </c>
      <c r="D37" s="55" t="n">
        <f aca="false">SUM(D33:D36)</f>
        <v>140</v>
      </c>
      <c r="E37" s="55" t="n">
        <f aca="false">SUM(E33:E36)</f>
        <v>900.098136319971</v>
      </c>
      <c r="F37" s="55" t="n">
        <f aca="false">SUM(F33:F36)</f>
        <v>2374.8521475832</v>
      </c>
      <c r="G37" s="55" t="n">
        <f aca="false">SUM(G33:G36)</f>
        <v>4870.21126945307</v>
      </c>
      <c r="H37" s="55" t="n">
        <f aca="false">SUM(H33:H36)</f>
        <v>7616.69733786442</v>
      </c>
      <c r="I37" s="55" t="n">
        <f aca="false">SUM(I33:I36)</f>
        <v>9364.11118066883</v>
      </c>
      <c r="J37" s="55" t="n">
        <f aca="false">SUM(J33:J36)</f>
        <v>10203.1054295856</v>
      </c>
      <c r="K37" s="55" t="n">
        <f aca="false">SUM(K33:K36)</f>
        <v>10742.4634179569</v>
      </c>
      <c r="L37" s="55" t="n">
        <f aca="false">SUM(L33:L36)</f>
        <v>11125.3056627412</v>
      </c>
      <c r="M37" s="55" t="n">
        <f aca="false">SUM(M33:M36)</f>
        <v>11462.3837336414</v>
      </c>
      <c r="N37" s="55" t="n">
        <f aca="false">SUM(N33:N36)</f>
        <v>11791.8774058161</v>
      </c>
      <c r="O37" s="55" t="n">
        <f aca="false">SUM(O33:O36)</f>
        <v>12126.4686544592</v>
      </c>
      <c r="P37" s="55" t="n">
        <f aca="false">SUM(P33:P36)</f>
        <v>12470.5342633525</v>
      </c>
      <c r="Q37" s="55" t="n">
        <f aca="false">SUM(Q33:Q36)</f>
        <v>12825.8224563672</v>
      </c>
      <c r="R37" s="55" t="n">
        <f aca="false">SUM(R33:R36)</f>
        <v>13193.2712980352</v>
      </c>
      <c r="S37" s="54" t="n">
        <f aca="false">R37*(1+Inputs!$D$20)</f>
        <v>13523.1030804861</v>
      </c>
    </row>
    <row r="38" customFormat="false" ht="15" hidden="false" customHeight="false" outlineLevel="0" collapsed="false">
      <c r="A38" s="7" t="s">
        <v>603</v>
      </c>
      <c r="B38" s="17" t="s">
        <v>68</v>
      </c>
      <c r="D38" s="41" t="n">
        <f aca="false">IF(Inputs!$D$36=0,0,(D37/D7)/(Inputs!$D$36/0.5)-1)</f>
        <v>2.02669981623608</v>
      </c>
      <c r="E38" s="41" t="n">
        <f aca="false">IF(D37=0,0,(E37/E7)/(D37/D7)-1)</f>
        <v>2.21463620114275</v>
      </c>
      <c r="F38" s="41" t="n">
        <f aca="false">IF(E37=0,0,(F37/F7)/(E37/E7)-1)</f>
        <v>1.63843691232683</v>
      </c>
      <c r="G38" s="41" t="n">
        <f aca="false">IF(F37=0,0,(G37/G7)/(F37/F7)-1)</f>
        <v>1.05074293758005</v>
      </c>
      <c r="H38" s="41" t="n">
        <f aca="false">IF(G37=0,0,(H37/H7)/(G37/G7)-1)</f>
        <v>0.563935713762123</v>
      </c>
      <c r="I38" s="41" t="n">
        <f aca="false">IF(H37=0,0,(I37/I7)/(H37/H7)-1)</f>
        <v>0.229418836707296</v>
      </c>
      <c r="J38" s="41" t="n">
        <f aca="false">IF(I37=0,0,(J37/J7)/(I37/I7)-1)</f>
        <v>0.0895967842253729</v>
      </c>
      <c r="K38" s="41" t="n">
        <f aca="false">IF(J37=0,0,(K37/K7)/(J37/J7)-1)</f>
        <v>0.0528621400703477</v>
      </c>
      <c r="L38" s="41" t="n">
        <f aca="false">IF(K37=0,0,(L37/L7)/(K37/K7)-1)</f>
        <v>0.0356382172216083</v>
      </c>
      <c r="M38" s="41" t="n">
        <f aca="false">IF(L37=0,0,(M37/M7)/(L37/L7)-1)</f>
        <v>0.0302983199849554</v>
      </c>
      <c r="N38" s="41" t="n">
        <f aca="false">IF(M37=0,0,(N37/N7)/(M37/M7)-1)</f>
        <v>0.0287456501048415</v>
      </c>
      <c r="O38" s="41" t="n">
        <f aca="false">IF(N37=0,0,(O37/O7)/(N37/N7)-1)</f>
        <v>0.0283747224575164</v>
      </c>
      <c r="P38" s="41" t="n">
        <f aca="false">IF(O37=0,0,(P37/P7)/(O37/O7)-1)</f>
        <v>0.028373108338251</v>
      </c>
      <c r="Q38" s="41" t="n">
        <f aca="false">IF(P37=0,0,(Q37/Q7)/(P37/P7)-1)</f>
        <v>0.0284902142531911</v>
      </c>
      <c r="R38" s="41" t="n">
        <f aca="false">IF(Q37=0,0,(R37/R7)/(Q37/Q7)-1)</f>
        <v>0.0286491445611399</v>
      </c>
    </row>
    <row r="39" customFormat="false" ht="15" hidden="false" customHeight="false" outlineLevel="0" collapsed="false">
      <c r="A39" s="7" t="s">
        <v>604</v>
      </c>
      <c r="B39" s="17" t="s">
        <v>141</v>
      </c>
      <c r="D39" s="45" t="n">
        <f aca="false">IF(D17=0,0,(D30+D31)/D17)</f>
        <v>0</v>
      </c>
      <c r="E39" s="45" t="n">
        <f aca="false">IF(E17=0,0,(E30+E31)/E17)</f>
        <v>0.156590438464639</v>
      </c>
      <c r="F39" s="45" t="n">
        <f aca="false">IF(F17=0,0,(F30+F31)/F17)</f>
        <v>0.412955748980389</v>
      </c>
      <c r="G39" s="45" t="n">
        <f aca="false">IF(G17=0,0,(G30+G31)/G17)</f>
        <v>0.811861424169101</v>
      </c>
      <c r="H39" s="45" t="n">
        <f aca="false">IF(H17=0,0,(H30+H31)/H17)</f>
        <v>1.28728694101623</v>
      </c>
      <c r="I39" s="45" t="n">
        <f aca="false">IF(I17=0,0,(I30+I31)/I17)</f>
        <v>1.65329339739855</v>
      </c>
      <c r="J39" s="45" t="n">
        <f aca="false">IF(J17=0,0,(J30+J31)/J17)</f>
        <v>1.87590090334313</v>
      </c>
      <c r="K39" s="45" t="n">
        <f aca="false">IF(K17=0,0,(K30+K31)/K17)</f>
        <v>1.97276920246841</v>
      </c>
      <c r="L39" s="45" t="n">
        <f aca="false">IF(L17=0,0,(L30+L31)/L17)</f>
        <v>2.01850198487944</v>
      </c>
      <c r="M39" s="45" t="n">
        <f aca="false">IF(M17=0,0,(M30+M31)/M17)</f>
        <v>2.04695353698883</v>
      </c>
      <c r="N39" s="45" t="n">
        <f aca="false">IF(N17=0,0,(N30+N31)/N17)</f>
        <v>2.07001180459265</v>
      </c>
      <c r="O39" s="45" t="n">
        <f aca="false">IF(O17=0,0,(O30+O31)/O17)</f>
        <v>2.09151881768231</v>
      </c>
      <c r="P39" s="45" t="n">
        <f aca="false">IF(P17=0,0,(P30+P31)/P17)</f>
        <v>2.11268514681673</v>
      </c>
      <c r="Q39" s="45" t="n">
        <f aca="false">IF(Q17=0,0,(Q30+Q31)/Q17)</f>
        <v>2.13389012938037</v>
      </c>
      <c r="R39" s="45" t="n">
        <f aca="false">IF(R17=0,0,(R30+R31)/R17)</f>
        <v>2.15525333426632</v>
      </c>
    </row>
    <row r="40" customFormat="false" ht="15" hidden="false" customHeight="false" outlineLevel="0" collapsed="false">
      <c r="A40" s="5" t="s">
        <v>605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customFormat="false" ht="15" hidden="false" customHeight="false" outlineLevel="0" collapsed="false">
      <c r="A41" s="7" t="s">
        <v>606</v>
      </c>
      <c r="B41" s="17" t="s">
        <v>116</v>
      </c>
      <c r="D41" s="42" t="n">
        <f aca="false">D36*(1-Inputs!$D$52)+D35*Inputs!$D$53</f>
        <v>103</v>
      </c>
      <c r="E41" s="42" t="n">
        <f aca="false">E36*(1-Inputs!$D$52)+E35*Inputs!$D$53</f>
        <v>188</v>
      </c>
      <c r="F41" s="42" t="n">
        <f aca="false">F36*(1-Inputs!$D$52)+F35*Inputs!$D$53</f>
        <v>172</v>
      </c>
      <c r="G41" s="42" t="n">
        <f aca="false">G36*(1-Inputs!$D$52)+G35*Inputs!$D$53</f>
        <v>159.5</v>
      </c>
      <c r="H41" s="42" t="n">
        <f aca="false">H36*(1-Inputs!$D$52)+H35*Inputs!$D$53</f>
        <v>194.5</v>
      </c>
      <c r="I41" s="42" t="n">
        <f aca="false">I36*(1-Inputs!$D$52)+I35*Inputs!$D$53</f>
        <v>206.26</v>
      </c>
      <c r="J41" s="42" t="n">
        <f aca="false">J36*(1-Inputs!$D$52)+J35*Inputs!$D$53</f>
        <v>218.9608</v>
      </c>
      <c r="K41" s="42" t="n">
        <f aca="false">K36*(1-Inputs!$D$52)+K35*Inputs!$D$53</f>
        <v>232.677664</v>
      </c>
      <c r="L41" s="42" t="n">
        <f aca="false">L36*(1-Inputs!$D$52)+L35*Inputs!$D$53</f>
        <v>247.49187712</v>
      </c>
      <c r="M41" s="42" t="n">
        <f aca="false">M36*(1-Inputs!$D$52)+M35*Inputs!$D$53</f>
        <v>263.4912272896</v>
      </c>
      <c r="N41" s="42" t="n">
        <f aca="false">N36*(1-Inputs!$D$52)+N35*Inputs!$D$53</f>
        <v>280.770525472768</v>
      </c>
      <c r="O41" s="42" t="n">
        <f aca="false">O36*(1-Inputs!$D$52)+O35*Inputs!$D$53</f>
        <v>299.43216751059</v>
      </c>
      <c r="P41" s="42" t="n">
        <f aca="false">P36*(1-Inputs!$D$52)+P35*Inputs!$D$53</f>
        <v>319.586740911437</v>
      </c>
      <c r="Q41" s="42" t="n">
        <f aca="false">Q36*(1-Inputs!$D$52)+Q35*Inputs!$D$53</f>
        <v>341.353680184352</v>
      </c>
      <c r="R41" s="42" t="n">
        <f aca="false">R36*(1-Inputs!$D$52)+R35*Inputs!$D$53</f>
        <v>364.8619745991</v>
      </c>
    </row>
    <row r="42" customFormat="false" ht="15" hidden="false" customHeight="false" outlineLevel="0" collapsed="false">
      <c r="A42" s="7" t="s">
        <v>607</v>
      </c>
      <c r="B42" s="17" t="s">
        <v>116</v>
      </c>
      <c r="D42" s="42" t="n">
        <f aca="false">(D33+D34)*Inputs!$G$76</f>
        <v>0</v>
      </c>
      <c r="E42" s="42" t="n">
        <f aca="false">(E33+E34)*Inputs!$G$76</f>
        <v>68.2107949951968</v>
      </c>
      <c r="F42" s="42" t="n">
        <f aca="false">(F33+F34)*Inputs!$G$76</f>
        <v>226.033736234152</v>
      </c>
      <c r="G42" s="42" t="n">
        <f aca="false">(G33+G34)*Inputs!$G$76</f>
        <v>495.023239639837</v>
      </c>
      <c r="H42" s="42" t="n">
        <f aca="false">(H33+H34)*Inputs!$G$76</f>
        <v>786.136707165086</v>
      </c>
      <c r="I42" s="42" t="n">
        <f aca="false">(I33+I34)*Inputs!$G$76</f>
        <v>974.656229873571</v>
      </c>
      <c r="J42" s="42" t="n">
        <f aca="false">(J33+J34)*Inputs!$G$76</f>
        <v>1062.95391725442</v>
      </c>
      <c r="K42" s="42" t="n">
        <f aca="false">(K33+K34)*Inputs!$G$76</f>
        <v>1117.97228157526</v>
      </c>
      <c r="L42" s="42" t="n">
        <f aca="false">(L33+L34)*Inputs!$G$76</f>
        <v>1155.42903294953</v>
      </c>
      <c r="M42" s="42" t="n">
        <f aca="false">(M33+M34)*Inputs!$G$76</f>
        <v>1187.47925355239</v>
      </c>
      <c r="N42" s="42" t="n">
        <f aca="false">(N33+N34)*Inputs!$G$76</f>
        <v>1218.29292091976</v>
      </c>
      <c r="O42" s="42" t="n">
        <f aca="false">(O33+O34)*Inputs!$G$76</f>
        <v>1249.23287077289</v>
      </c>
      <c r="P42" s="42" t="n">
        <f aca="false">(P33+P34)*Inputs!$G$76</f>
        <v>1280.74579325376</v>
      </c>
      <c r="Q42" s="42" t="n">
        <f aca="false">(Q33+Q34)*Inputs!$G$76</f>
        <v>1312.98645642817</v>
      </c>
      <c r="R42" s="42" t="n">
        <f aca="false">(R33+R34)*Inputs!$G$76</f>
        <v>1346.01750790987</v>
      </c>
    </row>
    <row r="43" customFormat="false" ht="15" hidden="false" customHeight="false" outlineLevel="0" collapsed="false">
      <c r="A43" s="7" t="s">
        <v>608</v>
      </c>
      <c r="B43" s="17" t="s">
        <v>116</v>
      </c>
      <c r="D43" s="42" t="n">
        <f aca="false">D33*Inputs!$D$47</f>
        <v>0</v>
      </c>
      <c r="E43" s="42" t="n">
        <f aca="false">E33*Inputs!$D$47</f>
        <v>18.6029440895991</v>
      </c>
      <c r="F43" s="42" t="n">
        <f aca="false">F33*Inputs!$D$47</f>
        <v>58.3649500015366</v>
      </c>
      <c r="G43" s="42" t="n">
        <f aca="false">G33*Inputs!$D$47</f>
        <v>125.1815715</v>
      </c>
      <c r="H43" s="42" t="n">
        <f aca="false">H33*Inputs!$D$47</f>
        <v>193.328688933432</v>
      </c>
      <c r="I43" s="42" t="n">
        <f aca="false">I33*Inputs!$D$47</f>
        <v>233.271672782937</v>
      </c>
      <c r="J43" s="42" t="n">
        <f aca="false">J33*Inputs!$D$47</f>
        <v>250.629124635774</v>
      </c>
      <c r="K43" s="42" t="n">
        <f aca="false">K33*Inputs!$D$47</f>
        <v>262.079456818646</v>
      </c>
      <c r="L43" s="42" t="n">
        <f aca="false">L33*Inputs!$D$47</f>
        <v>270.338549793297</v>
      </c>
      <c r="M43" s="42" t="n">
        <f aca="false">M33*Inputs!$D$47</f>
        <v>277.668384188129</v>
      </c>
      <c r="N43" s="42" t="n">
        <f aca="false">N33*Inputs!$D$47</f>
        <v>284.819748363644</v>
      </c>
      <c r="O43" s="42" t="n">
        <f aca="false">O33*Inputs!$D$47</f>
        <v>292.036046341321</v>
      </c>
      <c r="P43" s="42" t="n">
        <f aca="false">P33*Inputs!$D$47</f>
        <v>299.39751509989</v>
      </c>
      <c r="Q43" s="42" t="n">
        <f aca="false">Q33*Inputs!$D$47</f>
        <v>306.932654955392</v>
      </c>
      <c r="R43" s="42" t="n">
        <f aca="false">R33*Inputs!$D$47</f>
        <v>314.653682104165</v>
      </c>
    </row>
    <row r="44" customFormat="false" ht="15" hidden="false" customHeight="false" outlineLevel="0" collapsed="false">
      <c r="A44" s="7" t="s">
        <v>609</v>
      </c>
      <c r="B44" s="17" t="s">
        <v>116</v>
      </c>
      <c r="D44" s="42" t="n">
        <f aca="false">IF(D$6&gt;=Inputs!$D$45,Inputs!$D$46*D7,0)</f>
        <v>0</v>
      </c>
      <c r="E44" s="42" t="n">
        <f aca="false">IF(E$6&gt;=Inputs!$D$45,Inputs!$D$46*E7,0)</f>
        <v>100</v>
      </c>
      <c r="F44" s="42" t="n">
        <f aca="false">IF(F$6&gt;=Inputs!$D$45,Inputs!$D$46*F7,0)</f>
        <v>100</v>
      </c>
      <c r="G44" s="42" t="n">
        <f aca="false">IF(G$6&gt;=Inputs!$D$45,Inputs!$D$46*G7,0)</f>
        <v>100</v>
      </c>
      <c r="H44" s="42" t="n">
        <f aca="false">IF(H$6&gt;=Inputs!$D$45,Inputs!$D$46*H7,0)</f>
        <v>100</v>
      </c>
      <c r="I44" s="42" t="n">
        <f aca="false">IF(I$6&gt;=Inputs!$D$45,Inputs!$D$46*I7,0)</f>
        <v>100</v>
      </c>
      <c r="J44" s="42" t="n">
        <f aca="false">IF(J$6&gt;=Inputs!$D$45,Inputs!$D$46*J7,0)</f>
        <v>100</v>
      </c>
      <c r="K44" s="42" t="n">
        <f aca="false">IF(K$6&gt;=Inputs!$D$45,Inputs!$D$46*K7,0)</f>
        <v>100</v>
      </c>
      <c r="L44" s="42" t="n">
        <f aca="false">IF(L$6&gt;=Inputs!$D$45,Inputs!$D$46*L7,0)</f>
        <v>100</v>
      </c>
      <c r="M44" s="42" t="n">
        <f aca="false">IF(M$6&gt;=Inputs!$D$45,Inputs!$D$46*M7,0)</f>
        <v>100</v>
      </c>
      <c r="N44" s="42" t="n">
        <f aca="false">IF(N$6&gt;=Inputs!$D$45,Inputs!$D$46*N7,0)</f>
        <v>100</v>
      </c>
      <c r="O44" s="42" t="n">
        <f aca="false">IF(O$6&gt;=Inputs!$D$45,Inputs!$D$46*O7,0)</f>
        <v>100</v>
      </c>
      <c r="P44" s="42" t="n">
        <f aca="false">IF(P$6&gt;=Inputs!$D$45,Inputs!$D$46*P7,0)</f>
        <v>100</v>
      </c>
      <c r="Q44" s="42" t="n">
        <f aca="false">IF(Q$6&gt;=Inputs!$D$45,Inputs!$D$46*Q7,0)</f>
        <v>100</v>
      </c>
      <c r="R44" s="42" t="n">
        <f aca="false">IF(R$6&gt;=Inputs!$D$45,Inputs!$D$46*R7,0)</f>
        <v>100</v>
      </c>
    </row>
    <row r="45" customFormat="false" ht="15" hidden="false" customHeight="false" outlineLevel="0" collapsed="false">
      <c r="A45" s="7" t="s">
        <v>610</v>
      </c>
      <c r="B45" s="17" t="s">
        <v>116</v>
      </c>
      <c r="D45" s="16" t="n">
        <f aca="false">Inputs!$G$89</f>
        <v>205</v>
      </c>
      <c r="E45" s="42" t="n">
        <f aca="false">IF(E$6=2027,Inputs!$G$90,D45*(1+IF(E$6=2028,Inputs!$G$91,IF(E$6=2029,Inputs!$G$92,IF(E$6=2030,Inputs!$G$93,Inputs!$G$94)))))</f>
        <v>450</v>
      </c>
      <c r="F45" s="42" t="n">
        <f aca="false">IF(F$6=2027,Inputs!$G$90,E45*(1+IF(F$6=2028,Inputs!$G$91,IF(F$6=2029,Inputs!$G$92,IF(F$6=2030,Inputs!$G$93,Inputs!$G$94)))))</f>
        <v>504</v>
      </c>
      <c r="G45" s="42" t="n">
        <f aca="false">IF(G$6=2027,Inputs!$G$90,F45*(1+IF(G$6=2028,Inputs!$G$91,IF(G$6=2029,Inputs!$G$92,IF(G$6=2030,Inputs!$G$93,Inputs!$G$94)))))</f>
        <v>554.4</v>
      </c>
      <c r="H45" s="42" t="n">
        <f aca="false">IF(H$6=2027,Inputs!$G$90,G45*(1+IF(H$6=2028,Inputs!$G$91,IF(H$6=2029,Inputs!$G$92,IF(H$6=2030,Inputs!$G$93,Inputs!$G$94)))))</f>
        <v>598.752</v>
      </c>
      <c r="I45" s="42" t="n">
        <f aca="false">IF(I$6=2027,Inputs!$G$90,H45*(1+IF(I$6=2028,Inputs!$G$91,IF(I$6=2029,Inputs!$G$92,IF(I$6=2030,Inputs!$G$93,Inputs!$G$94)))))</f>
        <v>619.70832</v>
      </c>
      <c r="J45" s="42" t="n">
        <f aca="false">IF(J$6=2027,Inputs!$G$90,I45*(1+IF(J$6=2028,Inputs!$G$91,IF(J$6=2029,Inputs!$G$92,IF(J$6=2030,Inputs!$G$93,Inputs!$G$94)))))</f>
        <v>641.3981112</v>
      </c>
      <c r="K45" s="42" t="n">
        <f aca="false">IF(K$6=2027,Inputs!$G$90,J45*(1+IF(K$6=2028,Inputs!$G$91,IF(K$6=2029,Inputs!$G$92,IF(K$6=2030,Inputs!$G$93,Inputs!$G$94)))))</f>
        <v>663.847045092</v>
      </c>
      <c r="L45" s="42" t="n">
        <f aca="false">IF(L$6=2027,Inputs!$G$90,K45*(1+IF(L$6=2028,Inputs!$G$91,IF(L$6=2029,Inputs!$G$92,IF(L$6=2030,Inputs!$G$93,Inputs!$G$94)))))</f>
        <v>687.08169167022</v>
      </c>
      <c r="M45" s="42" t="n">
        <f aca="false">IF(M$6=2027,Inputs!$G$90,L45*(1+IF(M$6=2028,Inputs!$G$91,IF(M$6=2029,Inputs!$G$92,IF(M$6=2030,Inputs!$G$93,Inputs!$G$94)))))</f>
        <v>711.129550878678</v>
      </c>
      <c r="N45" s="42" t="n">
        <f aca="false">IF(N$6=2027,Inputs!$G$90,M45*(1+IF(N$6=2028,Inputs!$G$91,IF(N$6=2029,Inputs!$G$92,IF(N$6=2030,Inputs!$G$93,Inputs!$G$94)))))</f>
        <v>736.019085159431</v>
      </c>
      <c r="O45" s="42" t="n">
        <f aca="false">IF(O$6=2027,Inputs!$G$90,N45*(1+IF(O$6=2028,Inputs!$G$91,IF(O$6=2029,Inputs!$G$92,IF(O$6=2030,Inputs!$G$93,Inputs!$G$94)))))</f>
        <v>761.779753140011</v>
      </c>
      <c r="P45" s="42" t="n">
        <f aca="false">IF(P$6=2027,Inputs!$G$90,O45*(1+IF(P$6=2028,Inputs!$G$91,IF(P$6=2029,Inputs!$G$92,IF(P$6=2030,Inputs!$G$93,Inputs!$G$94)))))</f>
        <v>788.442044499912</v>
      </c>
      <c r="Q45" s="42" t="n">
        <f aca="false">IF(Q$6=2027,Inputs!$G$90,P45*(1+IF(Q$6=2028,Inputs!$G$91,IF(Q$6=2029,Inputs!$G$92,IF(Q$6=2030,Inputs!$G$93,Inputs!$G$94)))))</f>
        <v>816.037516057408</v>
      </c>
      <c r="R45" s="42" t="n">
        <f aca="false">IF(R$6=2027,Inputs!$G$90,Q45*(1+IF(R$6=2028,Inputs!$G$91,IF(R$6=2029,Inputs!$G$92,IF(R$6=2030,Inputs!$G$93,Inputs!$G$94)))))</f>
        <v>844.598829119418</v>
      </c>
    </row>
    <row r="46" customFormat="false" ht="15" hidden="false" customHeight="false" outlineLevel="0" collapsed="false">
      <c r="A46" s="7" t="s">
        <v>611</v>
      </c>
      <c r="B46" s="17" t="s">
        <v>116</v>
      </c>
      <c r="D46" s="42" t="n">
        <f aca="false">D17*Inputs!$D$48*D7</f>
        <v>19.5</v>
      </c>
      <c r="E46" s="42" t="n">
        <f aca="false">E17*Inputs!$D$48*E7</f>
        <v>110</v>
      </c>
      <c r="F46" s="42" t="n">
        <f aca="false">F17*Inputs!$D$48*F7</f>
        <v>175</v>
      </c>
      <c r="G46" s="42" t="n">
        <f aca="false">G17*Inputs!$D$48*G7</f>
        <v>210</v>
      </c>
      <c r="H46" s="42" t="n">
        <f aca="false">H17*Inputs!$D$48*H7</f>
        <v>230</v>
      </c>
      <c r="I46" s="42" t="n">
        <f aca="false">I17*Inputs!$D$48*I7</f>
        <v>240</v>
      </c>
      <c r="J46" s="42" t="n">
        <f aca="false">J17*Inputs!$D$48*J7</f>
        <v>240</v>
      </c>
      <c r="K46" s="42" t="n">
        <f aca="false">K17*Inputs!$D$48*K7</f>
        <v>240</v>
      </c>
      <c r="L46" s="42" t="n">
        <f aca="false">L17*Inputs!$D$48*L7</f>
        <v>240</v>
      </c>
      <c r="M46" s="42" t="n">
        <f aca="false">M17*Inputs!$D$48*M7</f>
        <v>240</v>
      </c>
      <c r="N46" s="42" t="n">
        <f aca="false">N17*Inputs!$D$48*N7</f>
        <v>240</v>
      </c>
      <c r="O46" s="42" t="n">
        <f aca="false">O17*Inputs!$D$48*O7</f>
        <v>240</v>
      </c>
      <c r="P46" s="42" t="n">
        <f aca="false">P17*Inputs!$D$48*P7</f>
        <v>240</v>
      </c>
      <c r="Q46" s="42" t="n">
        <f aca="false">Q17*Inputs!$D$48*Q7</f>
        <v>240</v>
      </c>
      <c r="R46" s="42" t="n">
        <f aca="false">R17*Inputs!$D$48*R7</f>
        <v>240</v>
      </c>
    </row>
    <row r="47" customFormat="false" ht="15" hidden="false" customHeight="false" outlineLevel="0" collapsed="false">
      <c r="A47" s="7" t="s">
        <v>612</v>
      </c>
      <c r="B47" s="17" t="s">
        <v>116</v>
      </c>
      <c r="D47" s="16" t="n">
        <f aca="false">Inputs!$G$95</f>
        <v>120</v>
      </c>
      <c r="E47" s="42" t="n">
        <f aca="false">MAX(Inputs!$G$96*(1-Inputs!$G$97)^MAX(0,E$6-2027),Inputs!$G$98*E37)</f>
        <v>230</v>
      </c>
      <c r="F47" s="42" t="n">
        <f aca="false">MAX(Inputs!$G$96*(1-Inputs!$G$97)^MAX(0,F$6-2027),Inputs!$G$98*F37)</f>
        <v>202.4</v>
      </c>
      <c r="G47" s="42" t="n">
        <f aca="false">MAX(Inputs!$G$96*(1-Inputs!$G$97)^MAX(0,G$6-2027),Inputs!$G$98*G37)</f>
        <v>178.112</v>
      </c>
      <c r="H47" s="42" t="n">
        <f aca="false">MAX(Inputs!$G$96*(1-Inputs!$G$97)^MAX(0,H$6-2027),Inputs!$G$98*H37)</f>
        <v>228.500920135933</v>
      </c>
      <c r="I47" s="42" t="n">
        <f aca="false">MAX(Inputs!$G$96*(1-Inputs!$G$97)^MAX(0,I$6-2027),Inputs!$G$98*I37)</f>
        <v>280.923335420065</v>
      </c>
      <c r="J47" s="42" t="n">
        <f aca="false">MAX(Inputs!$G$96*(1-Inputs!$G$97)^MAX(0,J$6-2027),Inputs!$G$98*J37)</f>
        <v>306.093162887568</v>
      </c>
      <c r="K47" s="42" t="n">
        <f aca="false">MAX(Inputs!$G$96*(1-Inputs!$G$97)^MAX(0,K$6-2027),Inputs!$G$98*K37)</f>
        <v>322.273902538707</v>
      </c>
      <c r="L47" s="42" t="n">
        <f aca="false">MAX(Inputs!$G$96*(1-Inputs!$G$97)^MAX(0,L$6-2027),Inputs!$G$98*L37)</f>
        <v>333.759169882237</v>
      </c>
      <c r="M47" s="42" t="n">
        <f aca="false">MAX(Inputs!$G$96*(1-Inputs!$G$97)^MAX(0,M$6-2027),Inputs!$G$98*M37)</f>
        <v>343.871512009242</v>
      </c>
      <c r="N47" s="42" t="n">
        <f aca="false">MAX(Inputs!$G$96*(1-Inputs!$G$97)^MAX(0,N$6-2027),Inputs!$G$98*N37)</f>
        <v>353.756322174482</v>
      </c>
      <c r="O47" s="42" t="n">
        <f aca="false">MAX(Inputs!$G$96*(1-Inputs!$G$97)^MAX(0,O$6-2027),Inputs!$G$98*O37)</f>
        <v>363.794059633775</v>
      </c>
      <c r="P47" s="42" t="n">
        <f aca="false">MAX(Inputs!$G$96*(1-Inputs!$G$97)^MAX(0,P$6-2027),Inputs!$G$98*P37)</f>
        <v>374.116027900576</v>
      </c>
      <c r="Q47" s="42" t="n">
        <f aca="false">MAX(Inputs!$G$96*(1-Inputs!$G$97)^MAX(0,Q$6-2027),Inputs!$G$98*Q37)</f>
        <v>384.774673691016</v>
      </c>
      <c r="R47" s="42" t="n">
        <f aca="false">MAX(Inputs!$G$96*(1-Inputs!$G$97)^MAX(0,R$6-2027),Inputs!$G$98*R37)</f>
        <v>395.798138941056</v>
      </c>
    </row>
    <row r="48" customFormat="false" ht="15" hidden="false" customHeight="false" outlineLevel="0" collapsed="false">
      <c r="A48" s="3" t="s">
        <v>613</v>
      </c>
      <c r="B48" s="17" t="s">
        <v>116</v>
      </c>
      <c r="D48" s="55" t="n">
        <f aca="false">SUM(D41:D47)</f>
        <v>447.5</v>
      </c>
      <c r="E48" s="55" t="n">
        <f aca="false">SUM(E41:E47)</f>
        <v>1164.8137390848</v>
      </c>
      <c r="F48" s="55" t="n">
        <f aca="false">SUM(F41:F47)</f>
        <v>1437.79868623569</v>
      </c>
      <c r="G48" s="55" t="n">
        <f aca="false">SUM(G41:G47)</f>
        <v>1822.21681113984</v>
      </c>
      <c r="H48" s="55" t="n">
        <f aca="false">SUM(H41:H47)</f>
        <v>2331.21831623445</v>
      </c>
      <c r="I48" s="55" t="n">
        <f aca="false">SUM(I41:I47)</f>
        <v>2654.81955807657</v>
      </c>
      <c r="J48" s="55" t="n">
        <f aca="false">SUM(J41:J47)</f>
        <v>2820.03511597776</v>
      </c>
      <c r="K48" s="55" t="n">
        <f aca="false">SUM(K41:K47)</f>
        <v>2938.85035002461</v>
      </c>
      <c r="L48" s="55" t="n">
        <f aca="false">SUM(L41:L47)</f>
        <v>3034.10032141529</v>
      </c>
      <c r="M48" s="55" t="n">
        <f aca="false">SUM(M41:M47)</f>
        <v>3123.63992791804</v>
      </c>
      <c r="N48" s="55" t="n">
        <f aca="false">SUM(N41:N47)</f>
        <v>3213.65860209008</v>
      </c>
      <c r="O48" s="55" t="n">
        <f aca="false">SUM(O41:O47)</f>
        <v>3306.27489739859</v>
      </c>
      <c r="P48" s="55" t="n">
        <f aca="false">SUM(P41:P47)</f>
        <v>3402.28812166557</v>
      </c>
      <c r="Q48" s="55" t="n">
        <f aca="false">SUM(Q41:Q47)</f>
        <v>3502.08498131634</v>
      </c>
      <c r="R48" s="55" t="n">
        <f aca="false">SUM(R41:R47)</f>
        <v>3605.93013267361</v>
      </c>
    </row>
    <row r="49" customFormat="false" ht="15" hidden="false" customHeight="false" outlineLevel="0" collapsed="false">
      <c r="A49" s="3" t="s">
        <v>614</v>
      </c>
      <c r="B49" s="17" t="s">
        <v>116</v>
      </c>
      <c r="D49" s="55" t="n">
        <f aca="false">D37-D48</f>
        <v>-307.5</v>
      </c>
      <c r="E49" s="55" t="n">
        <f aca="false">E37-E48</f>
        <v>-264.715602764825</v>
      </c>
      <c r="F49" s="55" t="n">
        <f aca="false">F37-F48</f>
        <v>937.053461347514</v>
      </c>
      <c r="G49" s="55" t="n">
        <f aca="false">G37-G48</f>
        <v>3047.99445831323</v>
      </c>
      <c r="H49" s="55" t="n">
        <f aca="false">H37-H48</f>
        <v>5285.47902162997</v>
      </c>
      <c r="I49" s="55" t="n">
        <f aca="false">I37-I48</f>
        <v>6709.29162259225</v>
      </c>
      <c r="J49" s="55" t="n">
        <f aca="false">J37-J48</f>
        <v>7383.07031360785</v>
      </c>
      <c r="K49" s="55" t="n">
        <f aca="false">K37-K48</f>
        <v>7803.61306793228</v>
      </c>
      <c r="L49" s="55" t="n">
        <f aca="false">L37-L48</f>
        <v>8091.20534132593</v>
      </c>
      <c r="M49" s="55" t="n">
        <f aca="false">M37-M48</f>
        <v>8338.74380572335</v>
      </c>
      <c r="N49" s="55" t="n">
        <f aca="false">N37-N48</f>
        <v>8578.21880372599</v>
      </c>
      <c r="O49" s="55" t="n">
        <f aca="false">O37-O48</f>
        <v>8820.19375706057</v>
      </c>
      <c r="P49" s="55" t="n">
        <f aca="false">P37-P48</f>
        <v>9068.24614168697</v>
      </c>
      <c r="Q49" s="55" t="n">
        <f aca="false">Q37-Q48</f>
        <v>9323.73747505087</v>
      </c>
      <c r="R49" s="55" t="n">
        <f aca="false">R37-R48</f>
        <v>9587.34116536158</v>
      </c>
      <c r="S49" s="54" t="n">
        <f aca="false">R49*(1+Inputs!$D$20)</f>
        <v>9827.02469449562</v>
      </c>
    </row>
    <row r="50" customFormat="false" ht="15" hidden="false" customHeight="false" outlineLevel="0" collapsed="false">
      <c r="A50" s="7" t="s">
        <v>615</v>
      </c>
      <c r="B50" s="17" t="s">
        <v>68</v>
      </c>
      <c r="D50" s="41" t="n">
        <f aca="false">IF(D37=0,0,D49/D37)</f>
        <v>-2.19642857142857</v>
      </c>
      <c r="E50" s="41" t="n">
        <f aca="false">IF(E37=0,0,E49/E37)</f>
        <v>-0.294096379142732</v>
      </c>
      <c r="F50" s="41" t="n">
        <f aca="false">IF(F37=0,0,F49/F37)</f>
        <v>0.394573389463895</v>
      </c>
      <c r="G50" s="41" t="n">
        <f aca="false">IF(G37=0,0,G49/G37)</f>
        <v>0.62584440174718</v>
      </c>
      <c r="H50" s="41" t="n">
        <f aca="false">IF(H37=0,0,H49/H37)</f>
        <v>0.693933182214631</v>
      </c>
      <c r="I50" s="41" t="n">
        <f aca="false">IF(I37=0,0,I49/I37)</f>
        <v>0.716489957577912</v>
      </c>
      <c r="J50" s="41" t="n">
        <f aca="false">IF(J37=0,0,J49/J37)</f>
        <v>0.723610116994323</v>
      </c>
      <c r="K50" s="41" t="n">
        <f aca="false">IF(K37=0,0,K49/K37)</f>
        <v>0.726426776086378</v>
      </c>
      <c r="L50" s="41" t="n">
        <f aca="false">IF(L37=0,0,L49/L37)</f>
        <v>0.727279374302809</v>
      </c>
      <c r="M50" s="41" t="n">
        <f aca="false">IF(M37=0,0,M49/M37)</f>
        <v>0.727487754684887</v>
      </c>
      <c r="N50" s="41" t="n">
        <f aca="false">IF(N37=0,0,N49/N37)</f>
        <v>0.727468452096948</v>
      </c>
      <c r="O50" s="41" t="n">
        <f aca="false">IF(O37=0,0,O49/O37)</f>
        <v>0.727350559209766</v>
      </c>
      <c r="P50" s="41" t="n">
        <f aca="false">IF(P37=0,0,P49/P37)</f>
        <v>0.727173828336773</v>
      </c>
      <c r="Q50" s="41" t="n">
        <f aca="false">IF(Q37=0,0,Q49/Q37)</f>
        <v>0.7269504553622</v>
      </c>
      <c r="R50" s="41" t="n">
        <f aca="false">IF(R37=0,0,R49/R37)</f>
        <v>0.726684152003255</v>
      </c>
    </row>
    <row r="51" customFormat="false" ht="15" hidden="false" customHeight="false" outlineLevel="0" collapsed="false">
      <c r="A51" s="5" t="s">
        <v>616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customFormat="false" ht="15" hidden="false" customHeight="false" outlineLevel="0" collapsed="false">
      <c r="A52" s="7" t="s">
        <v>617</v>
      </c>
      <c r="B52" s="17" t="s">
        <v>116</v>
      </c>
      <c r="D52" s="42" t="n">
        <f aca="false">IF(D$6=2026,Inputs!$G$100,IF(D$6=2027,Inputs!$G$101,IF(D$6=2028,Inputs!$G$102,MAX(Inputs!$G$104,Inputs!$G$103*D37))))</f>
        <v>150</v>
      </c>
      <c r="E52" s="42" t="n">
        <f aca="false">IF(E$6=2026,Inputs!$G$100,IF(E$6=2027,Inputs!$G$101,IF(E$6=2028,Inputs!$G$102,MAX(Inputs!$G$104,Inputs!$G$103*E37))))</f>
        <v>220</v>
      </c>
      <c r="F52" s="42" t="n">
        <f aca="false">IF(F$6=2026,Inputs!$G$100,IF(F$6=2027,Inputs!$G$101,IF(F$6=2028,Inputs!$G$102,MAX(Inputs!$G$104,Inputs!$G$103*F37))))</f>
        <v>180</v>
      </c>
      <c r="G52" s="42" t="n">
        <f aca="false">IF(G$6=2026,Inputs!$G$100,IF(G$6=2027,Inputs!$G$101,IF(G$6=2028,Inputs!$G$102,MAX(Inputs!$G$104,Inputs!$G$103*G37))))</f>
        <v>146.106338083592</v>
      </c>
      <c r="H52" s="42" t="n">
        <f aca="false">IF(H$6=2026,Inputs!$G$100,IF(H$6=2027,Inputs!$G$101,IF(H$6=2028,Inputs!$G$102,MAX(Inputs!$G$104,Inputs!$G$103*H37))))</f>
        <v>228.500920135933</v>
      </c>
      <c r="I52" s="42" t="n">
        <f aca="false">IF(I$6=2026,Inputs!$G$100,IF(I$6=2027,Inputs!$G$101,IF(I$6=2028,Inputs!$G$102,MAX(Inputs!$G$104,Inputs!$G$103*I37))))</f>
        <v>280.923335420065</v>
      </c>
      <c r="J52" s="42" t="n">
        <f aca="false">IF(J$6=2026,Inputs!$G$100,IF(J$6=2027,Inputs!$G$101,IF(J$6=2028,Inputs!$G$102,MAX(Inputs!$G$104,Inputs!$G$103*J37))))</f>
        <v>306.093162887568</v>
      </c>
      <c r="K52" s="42" t="n">
        <f aca="false">IF(K$6=2026,Inputs!$G$100,IF(K$6=2027,Inputs!$G$101,IF(K$6=2028,Inputs!$G$102,MAX(Inputs!$G$104,Inputs!$G$103*K37))))</f>
        <v>322.273902538707</v>
      </c>
      <c r="L52" s="42" t="n">
        <f aca="false">IF(L$6=2026,Inputs!$G$100,IF(L$6=2027,Inputs!$G$101,IF(L$6=2028,Inputs!$G$102,MAX(Inputs!$G$104,Inputs!$G$103*L37))))</f>
        <v>333.759169882237</v>
      </c>
      <c r="M52" s="42" t="n">
        <f aca="false">IF(M$6=2026,Inputs!$G$100,IF(M$6=2027,Inputs!$G$101,IF(M$6=2028,Inputs!$G$102,MAX(Inputs!$G$104,Inputs!$G$103*M37))))</f>
        <v>343.871512009242</v>
      </c>
      <c r="N52" s="42" t="n">
        <f aca="false">IF(N$6=2026,Inputs!$G$100,IF(N$6=2027,Inputs!$G$101,IF(N$6=2028,Inputs!$G$102,MAX(Inputs!$G$104,Inputs!$G$103*N37))))</f>
        <v>353.756322174482</v>
      </c>
      <c r="O52" s="42" t="n">
        <f aca="false">IF(O$6=2026,Inputs!$G$100,IF(O$6=2027,Inputs!$G$101,IF(O$6=2028,Inputs!$G$102,MAX(Inputs!$G$104,Inputs!$G$103*O37))))</f>
        <v>363.794059633775</v>
      </c>
      <c r="P52" s="42" t="n">
        <f aca="false">IF(P$6=2026,Inputs!$G$100,IF(P$6=2027,Inputs!$G$101,IF(P$6=2028,Inputs!$G$102,MAX(Inputs!$G$104,Inputs!$G$103*P37))))</f>
        <v>374.116027900576</v>
      </c>
      <c r="Q52" s="42" t="n">
        <f aca="false">IF(Q$6=2026,Inputs!$G$100,IF(Q$6=2027,Inputs!$G$101,IF(Q$6=2028,Inputs!$G$102,MAX(Inputs!$G$104,Inputs!$G$103*Q37))))</f>
        <v>384.774673691016</v>
      </c>
      <c r="R52" s="42" t="n">
        <f aca="false">IF(R$6=2026,Inputs!$G$100,IF(R$6=2027,Inputs!$G$101,IF(R$6=2028,Inputs!$G$102,MAX(Inputs!$G$104,Inputs!$G$103*R37))))</f>
        <v>395.798138941056</v>
      </c>
    </row>
    <row r="53" customFormat="false" ht="15" hidden="false" customHeight="false" outlineLevel="0" collapsed="false">
      <c r="A53" s="7" t="s">
        <v>180</v>
      </c>
      <c r="B53" s="17" t="s">
        <v>116</v>
      </c>
      <c r="D53" s="16" t="n">
        <f aca="false">IF(D$6=Inputs!$D$45,Inputs!$D$44,0)</f>
        <v>0</v>
      </c>
      <c r="E53" s="16" t="n">
        <f aca="false">IF(E$6=Inputs!$D$45,Inputs!$D$44,0)</f>
        <v>550</v>
      </c>
      <c r="F53" s="16" t="n">
        <f aca="false">IF(F$6=Inputs!$D$45,Inputs!$D$44,0)</f>
        <v>0</v>
      </c>
      <c r="G53" s="16" t="n">
        <f aca="false">IF(G$6=Inputs!$D$45,Inputs!$D$44,0)</f>
        <v>0</v>
      </c>
      <c r="H53" s="16" t="n">
        <f aca="false">IF(H$6=Inputs!$D$45,Inputs!$D$44,0)</f>
        <v>0</v>
      </c>
      <c r="I53" s="16" t="n">
        <f aca="false">IF(I$6=Inputs!$D$45,Inputs!$D$44,0)</f>
        <v>0</v>
      </c>
      <c r="J53" s="16" t="n">
        <f aca="false">IF(J$6=Inputs!$D$45,Inputs!$D$44,0)</f>
        <v>0</v>
      </c>
      <c r="K53" s="16" t="n">
        <f aca="false">IF(K$6=Inputs!$D$45,Inputs!$D$44,0)</f>
        <v>0</v>
      </c>
      <c r="L53" s="16" t="n">
        <f aca="false">IF(L$6=Inputs!$D$45,Inputs!$D$44,0)</f>
        <v>0</v>
      </c>
      <c r="M53" s="16" t="n">
        <f aca="false">IF(M$6=Inputs!$D$45,Inputs!$D$44,0)</f>
        <v>0</v>
      </c>
      <c r="N53" s="16" t="n">
        <f aca="false">IF(N$6=Inputs!$D$45,Inputs!$D$44,0)</f>
        <v>0</v>
      </c>
      <c r="O53" s="16" t="n">
        <f aca="false">IF(O$6=Inputs!$D$45,Inputs!$D$44,0)</f>
        <v>0</v>
      </c>
      <c r="P53" s="16" t="n">
        <f aca="false">IF(P$6=Inputs!$D$45,Inputs!$D$44,0)</f>
        <v>0</v>
      </c>
      <c r="Q53" s="16" t="n">
        <f aca="false">IF(Q$6=Inputs!$D$45,Inputs!$D$44,0)</f>
        <v>0</v>
      </c>
      <c r="R53" s="16" t="n">
        <f aca="false">IF(R$6=Inputs!$D$45,Inputs!$D$44,0)</f>
        <v>0</v>
      </c>
    </row>
    <row r="54" customFormat="false" ht="15" hidden="false" customHeight="false" outlineLevel="0" collapsed="false">
      <c r="A54" s="7" t="s">
        <v>618</v>
      </c>
      <c r="B54" s="17" t="s">
        <v>116</v>
      </c>
      <c r="D54" s="16" t="n">
        <f aca="false">IF(D$6=2028,Inputs!$G$105,0)</f>
        <v>0</v>
      </c>
      <c r="E54" s="16" t="n">
        <f aca="false">IF(E$6=2028,Inputs!$G$105,0)</f>
        <v>0</v>
      </c>
      <c r="F54" s="16" t="n">
        <f aca="false">IF(F$6=2028,Inputs!$G$105,0)</f>
        <v>300</v>
      </c>
      <c r="G54" s="16" t="n">
        <f aca="false">IF(G$6=2028,Inputs!$G$105,0)</f>
        <v>0</v>
      </c>
      <c r="H54" s="16" t="n">
        <f aca="false">IF(H$6=2028,Inputs!$G$105,0)</f>
        <v>0</v>
      </c>
      <c r="I54" s="16" t="n">
        <f aca="false">IF(I$6=2028,Inputs!$G$105,0)</f>
        <v>0</v>
      </c>
      <c r="J54" s="16" t="n">
        <f aca="false">IF(J$6=2028,Inputs!$G$105,0)</f>
        <v>0</v>
      </c>
      <c r="K54" s="16" t="n">
        <f aca="false">IF(K$6=2028,Inputs!$G$105,0)</f>
        <v>0</v>
      </c>
      <c r="L54" s="16" t="n">
        <f aca="false">IF(L$6=2028,Inputs!$G$105,0)</f>
        <v>0</v>
      </c>
      <c r="M54" s="16" t="n">
        <f aca="false">IF(M$6=2028,Inputs!$G$105,0)</f>
        <v>0</v>
      </c>
      <c r="N54" s="16" t="n">
        <f aca="false">IF(N$6=2028,Inputs!$G$105,0)</f>
        <v>0</v>
      </c>
      <c r="O54" s="16" t="n">
        <f aca="false">IF(O$6=2028,Inputs!$G$105,0)</f>
        <v>0</v>
      </c>
      <c r="P54" s="16" t="n">
        <f aca="false">IF(P$6=2028,Inputs!$G$105,0)</f>
        <v>0</v>
      </c>
      <c r="Q54" s="16" t="n">
        <f aca="false">IF(Q$6=2028,Inputs!$G$105,0)</f>
        <v>0</v>
      </c>
      <c r="R54" s="16" t="n">
        <f aca="false">IF(R$6=2028,Inputs!$G$105,0)</f>
        <v>0</v>
      </c>
    </row>
    <row r="55" customFormat="false" ht="15" hidden="false" customHeight="false" outlineLevel="0" collapsed="false">
      <c r="A55" s="5" t="s">
        <v>619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customFormat="false" ht="15" hidden="false" customHeight="false" outlineLevel="0" collapsed="false">
      <c r="A56" s="7" t="s">
        <v>620</v>
      </c>
      <c r="B56" s="17" t="s">
        <v>116</v>
      </c>
      <c r="D56" s="42" t="n">
        <f aca="false">D19+D52</f>
        <v>835.263157894737</v>
      </c>
      <c r="E56" s="42" t="n">
        <f aca="false">E19+E52</f>
        <v>1104.21052631579</v>
      </c>
      <c r="F56" s="42" t="n">
        <f aca="false">F19+F52</f>
        <v>732.631578947368</v>
      </c>
      <c r="G56" s="42" t="n">
        <f aca="false">G19+G52</f>
        <v>370.474759136224</v>
      </c>
      <c r="H56" s="42" t="n">
        <f aca="false">H19+H52</f>
        <v>456.234867504354</v>
      </c>
      <c r="I56" s="42" t="n">
        <f aca="false">I19+I52</f>
        <v>280.923335420065</v>
      </c>
      <c r="J56" s="42" t="n">
        <f aca="false">J19+J52</f>
        <v>306.093162887568</v>
      </c>
      <c r="K56" s="42" t="n">
        <f aca="false">K19+K52</f>
        <v>1155.75152659662</v>
      </c>
      <c r="L56" s="42" t="n">
        <f aca="false">L19+L52</f>
        <v>1300.59321378941</v>
      </c>
      <c r="M56" s="42" t="n">
        <f aca="false">M19+M52</f>
        <v>957.206858612857</v>
      </c>
      <c r="N56" s="42" t="n">
        <f aca="false">N19+N52</f>
        <v>602.77047289555</v>
      </c>
      <c r="O56" s="42" t="n">
        <f aca="false">O19+O52</f>
        <v>616.543422615659</v>
      </c>
      <c r="P56" s="42" t="n">
        <f aca="false">P19+P52</f>
        <v>374.116027900576</v>
      </c>
      <c r="Q56" s="42" t="n">
        <f aca="false">Q19+Q52</f>
        <v>384.774673691016</v>
      </c>
      <c r="R56" s="42" t="n">
        <f aca="false">R19+R52</f>
        <v>1320.82904001919</v>
      </c>
    </row>
    <row r="57" customFormat="false" ht="15" hidden="false" customHeight="false" outlineLevel="0" collapsed="false">
      <c r="A57" s="7" t="s">
        <v>621</v>
      </c>
      <c r="B57" s="17" t="s">
        <v>116</v>
      </c>
      <c r="D57" s="42" t="n">
        <f aca="false">IF(Inputs!$D$25=1,D56,SUMIFS($D$56:D56,$D$6:D6,"&gt;"&amp;(D$6-ROUND(Inputs!$D$26,0)))/ROUND(Inputs!$D$26,0)*D7)</f>
        <v>835.263157894737</v>
      </c>
      <c r="E57" s="42" t="n">
        <f aca="false">IF(Inputs!$D$25=1,E56,SUMIFS($D$56:E56,$D$6:E6,"&gt;"&amp;(E$6-ROUND(Inputs!$D$26,0)))/ROUND(Inputs!$D$26,0)*E7)</f>
        <v>1104.21052631579</v>
      </c>
      <c r="F57" s="42" t="n">
        <f aca="false">IF(Inputs!$D$25=1,F56,SUMIFS($D$56:F56,$D$6:F6,"&gt;"&amp;(F$6-ROUND(Inputs!$D$26,0)))/ROUND(Inputs!$D$26,0)*F7)</f>
        <v>732.631578947368</v>
      </c>
      <c r="G57" s="42" t="n">
        <f aca="false">IF(Inputs!$D$25=1,G56,SUMIFS($D$56:G56,$D$6:G6,"&gt;"&amp;(G$6-ROUND(Inputs!$D$26,0)))/ROUND(Inputs!$D$26,0)*G7)</f>
        <v>370.474759136224</v>
      </c>
      <c r="H57" s="42" t="n">
        <f aca="false">IF(Inputs!$D$25=1,H56,SUMIFS($D$56:H56,$D$6:H6,"&gt;"&amp;(H$6-ROUND(Inputs!$D$26,0)))/ROUND(Inputs!$D$26,0)*H7)</f>
        <v>456.234867504354</v>
      </c>
      <c r="I57" s="42" t="n">
        <f aca="false">IF(Inputs!$D$25=1,I56,SUMIFS($D$56:I56,$D$6:I6,"&gt;"&amp;(I$6-ROUND(Inputs!$D$26,0)))/ROUND(Inputs!$D$26,0)*I7)</f>
        <v>280.923335420065</v>
      </c>
      <c r="J57" s="42" t="n">
        <f aca="false">IF(Inputs!$D$25=1,J56,SUMIFS($D$56:J56,$D$6:J6,"&gt;"&amp;(J$6-ROUND(Inputs!$D$26,0)))/ROUND(Inputs!$D$26,0)*J7)</f>
        <v>306.093162887568</v>
      </c>
      <c r="K57" s="42" t="n">
        <f aca="false">IF(Inputs!$D$25=1,K56,SUMIFS($D$56:K56,$D$6:K6,"&gt;"&amp;(K$6-ROUND(Inputs!$D$26,0)))/ROUND(Inputs!$D$26,0)*K7)</f>
        <v>1155.75152659662</v>
      </c>
      <c r="L57" s="42" t="n">
        <f aca="false">IF(Inputs!$D$25=1,L56,SUMIFS($D$56:L56,$D$6:L6,"&gt;"&amp;(L$6-ROUND(Inputs!$D$26,0)))/ROUND(Inputs!$D$26,0)*L7)</f>
        <v>1300.59321378941</v>
      </c>
      <c r="M57" s="42" t="n">
        <f aca="false">IF(Inputs!$D$25=1,M56,SUMIFS($D$56:M56,$D$6:M6,"&gt;"&amp;(M$6-ROUND(Inputs!$D$26,0)))/ROUND(Inputs!$D$26,0)*M7)</f>
        <v>957.206858612857</v>
      </c>
      <c r="N57" s="42" t="n">
        <f aca="false">IF(Inputs!$D$25=1,N56,SUMIFS($D$56:N56,$D$6:N6,"&gt;"&amp;(N$6-ROUND(Inputs!$D$26,0)))/ROUND(Inputs!$D$26,0)*N7)</f>
        <v>602.77047289555</v>
      </c>
      <c r="O57" s="42" t="n">
        <f aca="false">IF(Inputs!$D$25=1,O56,SUMIFS($D$56:O56,$D$6:O6,"&gt;"&amp;(O$6-ROUND(Inputs!$D$26,0)))/ROUND(Inputs!$D$26,0)*O7)</f>
        <v>616.543422615659</v>
      </c>
      <c r="P57" s="42" t="n">
        <f aca="false">IF(Inputs!$D$25=1,P56,SUMIFS($D$56:P56,$D$6:P6,"&gt;"&amp;(P$6-ROUND(Inputs!$D$26,0)))/ROUND(Inputs!$D$26,0)*P7)</f>
        <v>374.116027900576</v>
      </c>
      <c r="Q57" s="42" t="n">
        <f aca="false">IF(Inputs!$D$25=1,Q56,SUMIFS($D$56:Q56,$D$6:Q6,"&gt;"&amp;(Q$6-ROUND(Inputs!$D$26,0)))/ROUND(Inputs!$D$26,0)*Q7)</f>
        <v>384.774673691016</v>
      </c>
      <c r="R57" s="42" t="n">
        <f aca="false">IF(Inputs!$D$25=1,R56,SUMIFS($D$56:R56,$D$6:R6,"&gt;"&amp;(R$6-ROUND(Inputs!$D$26,0)))/ROUND(Inputs!$D$26,0)*R7)</f>
        <v>1320.82904001919</v>
      </c>
    </row>
    <row r="58" customFormat="false" ht="15" hidden="false" customHeight="false" outlineLevel="0" collapsed="false">
      <c r="A58" s="7" t="s">
        <v>622</v>
      </c>
      <c r="B58" s="17" t="s">
        <v>116</v>
      </c>
      <c r="D58" s="42" t="n">
        <f aca="false">IF(AND(D$6&gt;=Inputs!$D$45,D$6&lt;Inputs!$D$45+15),Inputs!$D$44/15*D7,0)</f>
        <v>0</v>
      </c>
      <c r="E58" s="42" t="n">
        <f aca="false">IF(AND(E$6&gt;=Inputs!$D$45,E$6&lt;Inputs!$D$45+15),Inputs!$D$44/15*E7,0)</f>
        <v>36.6666666666667</v>
      </c>
      <c r="F58" s="42" t="n">
        <f aca="false">IF(AND(F$6&gt;=Inputs!$D$45,F$6&lt;Inputs!$D$45+15),Inputs!$D$44/15*F7,0)</f>
        <v>36.6666666666667</v>
      </c>
      <c r="G58" s="42" t="n">
        <f aca="false">IF(AND(G$6&gt;=Inputs!$D$45,G$6&lt;Inputs!$D$45+15),Inputs!$D$44/15*G7,0)</f>
        <v>36.6666666666667</v>
      </c>
      <c r="H58" s="42" t="n">
        <f aca="false">IF(AND(H$6&gt;=Inputs!$D$45,H$6&lt;Inputs!$D$45+15),Inputs!$D$44/15*H7,0)</f>
        <v>36.6666666666667</v>
      </c>
      <c r="I58" s="42" t="n">
        <f aca="false">IF(AND(I$6&gt;=Inputs!$D$45,I$6&lt;Inputs!$D$45+15),Inputs!$D$44/15*I7,0)</f>
        <v>36.6666666666667</v>
      </c>
      <c r="J58" s="42" t="n">
        <f aca="false">IF(AND(J$6&gt;=Inputs!$D$45,J$6&lt;Inputs!$D$45+15),Inputs!$D$44/15*J7,0)</f>
        <v>36.6666666666667</v>
      </c>
      <c r="K58" s="42" t="n">
        <f aca="false">IF(AND(K$6&gt;=Inputs!$D$45,K$6&lt;Inputs!$D$45+15),Inputs!$D$44/15*K7,0)</f>
        <v>36.6666666666667</v>
      </c>
      <c r="L58" s="42" t="n">
        <f aca="false">IF(AND(L$6&gt;=Inputs!$D$45,L$6&lt;Inputs!$D$45+15),Inputs!$D$44/15*L7,0)</f>
        <v>36.6666666666667</v>
      </c>
      <c r="M58" s="42" t="n">
        <f aca="false">IF(AND(M$6&gt;=Inputs!$D$45,M$6&lt;Inputs!$D$45+15),Inputs!$D$44/15*M7,0)</f>
        <v>36.6666666666667</v>
      </c>
      <c r="N58" s="42" t="n">
        <f aca="false">IF(AND(N$6&gt;=Inputs!$D$45,N$6&lt;Inputs!$D$45+15),Inputs!$D$44/15*N7,0)</f>
        <v>36.6666666666667</v>
      </c>
      <c r="O58" s="42" t="n">
        <f aca="false">IF(AND(O$6&gt;=Inputs!$D$45,O$6&lt;Inputs!$D$45+15),Inputs!$D$44/15*O7,0)</f>
        <v>36.6666666666667</v>
      </c>
      <c r="P58" s="42" t="n">
        <f aca="false">IF(AND(P$6&gt;=Inputs!$D$45,P$6&lt;Inputs!$D$45+15),Inputs!$D$44/15*P7,0)</f>
        <v>36.6666666666667</v>
      </c>
      <c r="Q58" s="42" t="n">
        <f aca="false">IF(AND(Q$6&gt;=Inputs!$D$45,Q$6&lt;Inputs!$D$45+15),Inputs!$D$44/15*Q7,0)</f>
        <v>36.6666666666667</v>
      </c>
      <c r="R58" s="42" t="n">
        <f aca="false">IF(AND(R$6&gt;=Inputs!$D$45,R$6&lt;Inputs!$D$45+15),Inputs!$D$44/15*R7,0)</f>
        <v>36.6666666666667</v>
      </c>
    </row>
    <row r="59" customFormat="false" ht="15" hidden="false" customHeight="false" outlineLevel="0" collapsed="false">
      <c r="A59" s="7" t="s">
        <v>623</v>
      </c>
      <c r="B59" s="17" t="s">
        <v>116</v>
      </c>
      <c r="D59" s="42" t="n">
        <f aca="false">D49-D57-D58</f>
        <v>-1142.76315789474</v>
      </c>
      <c r="E59" s="42" t="n">
        <f aca="false">E49-E57-E58</f>
        <v>-1405.59279574728</v>
      </c>
      <c r="F59" s="42" t="n">
        <f aca="false">F49-F57-F58</f>
        <v>167.755215733479</v>
      </c>
      <c r="G59" s="42" t="n">
        <f aca="false">G49-G57-G58</f>
        <v>2640.85303251034</v>
      </c>
      <c r="H59" s="42" t="n">
        <f aca="false">H49-H57-H58</f>
        <v>4792.57748745895</v>
      </c>
      <c r="I59" s="42" t="n">
        <f aca="false">I49-I57-I58</f>
        <v>6391.70162050552</v>
      </c>
      <c r="J59" s="42" t="n">
        <f aca="false">J49-J57-J58</f>
        <v>7040.31048405362</v>
      </c>
      <c r="K59" s="42" t="n">
        <f aca="false">K49-K57-K58</f>
        <v>6611.194874669</v>
      </c>
      <c r="L59" s="42" t="n">
        <f aca="false">L49-L57-L58</f>
        <v>6753.94546086985</v>
      </c>
      <c r="M59" s="42" t="n">
        <f aca="false">M49-M57-M58</f>
        <v>7344.87028044383</v>
      </c>
      <c r="N59" s="42" t="n">
        <f aca="false">N49-N57-N58</f>
        <v>7938.78166416378</v>
      </c>
      <c r="O59" s="42" t="n">
        <f aca="false">O49-O57-O58</f>
        <v>8166.98366777825</v>
      </c>
      <c r="P59" s="42" t="n">
        <f aca="false">P49-P57-P58</f>
        <v>8657.46344711972</v>
      </c>
      <c r="Q59" s="42" t="n">
        <f aca="false">Q49-Q57-Q58</f>
        <v>8902.29613469319</v>
      </c>
      <c r="R59" s="42" t="n">
        <f aca="false">R49-R57-R58</f>
        <v>8229.84545867573</v>
      </c>
    </row>
    <row r="60" customFormat="false" ht="15" hidden="false" customHeight="false" outlineLevel="0" collapsed="false">
      <c r="A60" s="7" t="s">
        <v>624</v>
      </c>
      <c r="B60" s="17" t="s">
        <v>116</v>
      </c>
      <c r="D60" s="16" t="n">
        <f aca="false">Inputs!$D$23</f>
        <v>1000</v>
      </c>
      <c r="E60" s="42" t="n">
        <f aca="false">D62</f>
        <v>2142.76315789474</v>
      </c>
      <c r="F60" s="42" t="n">
        <f aca="false">E62</f>
        <v>3548.35595364202</v>
      </c>
      <c r="G60" s="42" t="n">
        <f aca="false">F62</f>
        <v>3414.15178105524</v>
      </c>
      <c r="H60" s="42" t="n">
        <f aca="false">G62</f>
        <v>1301.46935504696</v>
      </c>
      <c r="I60" s="42" t="n">
        <f aca="false">H62</f>
        <v>0</v>
      </c>
      <c r="J60" s="42" t="n">
        <f aca="false">I62</f>
        <v>0</v>
      </c>
      <c r="K60" s="42" t="n">
        <f aca="false">J62</f>
        <v>0</v>
      </c>
      <c r="L60" s="42" t="n">
        <f aca="false">K62</f>
        <v>0</v>
      </c>
      <c r="M60" s="42" t="n">
        <f aca="false">L62</f>
        <v>0</v>
      </c>
      <c r="N60" s="42" t="n">
        <f aca="false">M62</f>
        <v>0</v>
      </c>
      <c r="O60" s="42" t="n">
        <f aca="false">N62</f>
        <v>0</v>
      </c>
      <c r="P60" s="42" t="n">
        <f aca="false">O62</f>
        <v>0</v>
      </c>
      <c r="Q60" s="42" t="n">
        <f aca="false">P62</f>
        <v>0</v>
      </c>
      <c r="R60" s="42" t="n">
        <f aca="false">Q62</f>
        <v>0</v>
      </c>
    </row>
    <row r="61" customFormat="false" ht="15" hidden="false" customHeight="false" outlineLevel="0" collapsed="false">
      <c r="A61" s="7" t="s">
        <v>625</v>
      </c>
      <c r="B61" s="17" t="s">
        <v>116</v>
      </c>
      <c r="D61" s="42" t="n">
        <f aca="false">MIN(D60,MAX(0,D59)*Inputs!$D$24)</f>
        <v>0</v>
      </c>
      <c r="E61" s="42" t="n">
        <f aca="false">MIN(E60,MAX(0,E59)*Inputs!$D$24)</f>
        <v>0</v>
      </c>
      <c r="F61" s="42" t="n">
        <f aca="false">MIN(F60,MAX(0,F59)*Inputs!$D$24)</f>
        <v>134.204172586783</v>
      </c>
      <c r="G61" s="42" t="n">
        <f aca="false">MIN(G60,MAX(0,G59)*Inputs!$D$24)</f>
        <v>2112.68242600827</v>
      </c>
      <c r="H61" s="42" t="n">
        <f aca="false">MIN(H60,MAX(0,H59)*Inputs!$D$24)</f>
        <v>1301.46935504696</v>
      </c>
      <c r="I61" s="42" t="n">
        <f aca="false">MIN(I60,MAX(0,I59)*Inputs!$D$24)</f>
        <v>0</v>
      </c>
      <c r="J61" s="42" t="n">
        <f aca="false">MIN(J60,MAX(0,J59)*Inputs!$D$24)</f>
        <v>0</v>
      </c>
      <c r="K61" s="42" t="n">
        <f aca="false">MIN(K60,MAX(0,K59)*Inputs!$D$24)</f>
        <v>0</v>
      </c>
      <c r="L61" s="42" t="n">
        <f aca="false">MIN(L60,MAX(0,L59)*Inputs!$D$24)</f>
        <v>0</v>
      </c>
      <c r="M61" s="42" t="n">
        <f aca="false">MIN(M60,MAX(0,M59)*Inputs!$D$24)</f>
        <v>0</v>
      </c>
      <c r="N61" s="42" t="n">
        <f aca="false">MIN(N60,MAX(0,N59)*Inputs!$D$24)</f>
        <v>0</v>
      </c>
      <c r="O61" s="42" t="n">
        <f aca="false">MIN(O60,MAX(0,O59)*Inputs!$D$24)</f>
        <v>0</v>
      </c>
      <c r="P61" s="42" t="n">
        <f aca="false">MIN(P60,MAX(0,P59)*Inputs!$D$24)</f>
        <v>0</v>
      </c>
      <c r="Q61" s="42" t="n">
        <f aca="false">MIN(Q60,MAX(0,Q59)*Inputs!$D$24)</f>
        <v>0</v>
      </c>
      <c r="R61" s="42" t="n">
        <f aca="false">MIN(R60,MAX(0,R59)*Inputs!$D$24)</f>
        <v>0</v>
      </c>
    </row>
    <row r="62" customFormat="false" ht="15" hidden="false" customHeight="false" outlineLevel="0" collapsed="false">
      <c r="A62" s="7" t="s">
        <v>626</v>
      </c>
      <c r="B62" s="17" t="s">
        <v>116</v>
      </c>
      <c r="D62" s="42" t="n">
        <f aca="false">D60-D61+MAX(0,-D59)</f>
        <v>2142.76315789474</v>
      </c>
      <c r="E62" s="42" t="n">
        <f aca="false">E60-E61+MAX(0,-E59)</f>
        <v>3548.35595364202</v>
      </c>
      <c r="F62" s="42" t="n">
        <f aca="false">F60-F61+MAX(0,-F59)</f>
        <v>3414.15178105524</v>
      </c>
      <c r="G62" s="42" t="n">
        <f aca="false">G60-G61+MAX(0,-G59)</f>
        <v>1301.46935504696</v>
      </c>
      <c r="H62" s="42" t="n">
        <f aca="false">H60-H61+MAX(0,-H59)</f>
        <v>0</v>
      </c>
      <c r="I62" s="42" t="n">
        <f aca="false">I60-I61+MAX(0,-I59)</f>
        <v>0</v>
      </c>
      <c r="J62" s="42" t="n">
        <f aca="false">J60-J61+MAX(0,-J59)</f>
        <v>0</v>
      </c>
      <c r="K62" s="42" t="n">
        <f aca="false">K60-K61+MAX(0,-K59)</f>
        <v>0</v>
      </c>
      <c r="L62" s="42" t="n">
        <f aca="false">L60-L61+MAX(0,-L59)</f>
        <v>0</v>
      </c>
      <c r="M62" s="42" t="n">
        <f aca="false">M60-M61+MAX(0,-M59)</f>
        <v>0</v>
      </c>
      <c r="N62" s="42" t="n">
        <f aca="false">N60-N61+MAX(0,-N59)</f>
        <v>0</v>
      </c>
      <c r="O62" s="42" t="n">
        <f aca="false">O60-O61+MAX(0,-O59)</f>
        <v>0</v>
      </c>
      <c r="P62" s="42" t="n">
        <f aca="false">P60-P61+MAX(0,-P59)</f>
        <v>0</v>
      </c>
      <c r="Q62" s="42" t="n">
        <f aca="false">Q60-Q61+MAX(0,-Q59)</f>
        <v>0</v>
      </c>
      <c r="R62" s="42" t="n">
        <f aca="false">R60-R61+MAX(0,-R59)</f>
        <v>0</v>
      </c>
    </row>
    <row r="63" customFormat="false" ht="15" hidden="false" customHeight="false" outlineLevel="0" collapsed="false">
      <c r="A63" s="3" t="s">
        <v>627</v>
      </c>
      <c r="B63" s="17" t="s">
        <v>116</v>
      </c>
      <c r="D63" s="55" t="n">
        <f aca="false">Inputs!$D$22*MAX(0,D59-D61)</f>
        <v>0</v>
      </c>
      <c r="E63" s="55" t="n">
        <f aca="false">Inputs!$D$22*MAX(0,E59-E61)</f>
        <v>0</v>
      </c>
      <c r="F63" s="55" t="n">
        <f aca="false">Inputs!$D$22*MAX(0,F59-F61)</f>
        <v>8.38776078667394</v>
      </c>
      <c r="G63" s="55" t="n">
        <f aca="false">Inputs!$D$22*MAX(0,G59-G61)</f>
        <v>132.042651625517</v>
      </c>
      <c r="H63" s="55" t="n">
        <f aca="false">Inputs!$D$22*MAX(0,H59-H61)</f>
        <v>872.777033102995</v>
      </c>
      <c r="I63" s="55" t="n">
        <f aca="false">Inputs!$D$22*MAX(0,I59-I61)</f>
        <v>1597.92540512638</v>
      </c>
      <c r="J63" s="55" t="n">
        <f aca="false">Inputs!$D$22*MAX(0,J59-J61)</f>
        <v>1760.0776210134</v>
      </c>
      <c r="K63" s="55" t="n">
        <f aca="false">Inputs!$D$22*MAX(0,K59-K61)</f>
        <v>1652.79871866725</v>
      </c>
      <c r="L63" s="55" t="n">
        <f aca="false">Inputs!$D$22*MAX(0,L59-L61)</f>
        <v>1688.48636521746</v>
      </c>
      <c r="M63" s="55" t="n">
        <f aca="false">Inputs!$D$22*MAX(0,M59-M61)</f>
        <v>1836.21757011096</v>
      </c>
      <c r="N63" s="55" t="n">
        <f aca="false">Inputs!$D$22*MAX(0,N59-N61)</f>
        <v>1984.69541604094</v>
      </c>
      <c r="O63" s="55" t="n">
        <f aca="false">Inputs!$D$22*MAX(0,O59-O61)</f>
        <v>2041.74591694456</v>
      </c>
      <c r="P63" s="55" t="n">
        <f aca="false">Inputs!$D$22*MAX(0,P59-P61)</f>
        <v>2164.36586177993</v>
      </c>
      <c r="Q63" s="55" t="n">
        <f aca="false">Inputs!$D$22*MAX(0,Q59-Q61)</f>
        <v>2225.5740336733</v>
      </c>
      <c r="R63" s="55" t="n">
        <f aca="false">Inputs!$D$22*MAX(0,R59-R61)</f>
        <v>2057.46136466893</v>
      </c>
    </row>
    <row r="64" customFormat="false" ht="15" hidden="false" customHeight="false" outlineLevel="0" collapsed="false">
      <c r="A64" s="5" t="s">
        <v>628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customFormat="false" ht="15" hidden="false" customHeight="false" outlineLevel="0" collapsed="false">
      <c r="A65" s="7" t="s">
        <v>629</v>
      </c>
      <c r="B65" s="17" t="s">
        <v>116</v>
      </c>
      <c r="D65" s="42" t="n">
        <f aca="false">D37/D7</f>
        <v>280</v>
      </c>
      <c r="E65" s="42" t="n">
        <f aca="false">E37/E7</f>
        <v>900.098136319971</v>
      </c>
      <c r="F65" s="42" t="n">
        <f aca="false">F37/F7</f>
        <v>2374.8521475832</v>
      </c>
      <c r="G65" s="42" t="n">
        <f aca="false">G37/G7</f>
        <v>4870.21126945307</v>
      </c>
      <c r="H65" s="42" t="n">
        <f aca="false">H37/H7</f>
        <v>7616.69733786442</v>
      </c>
      <c r="I65" s="42" t="n">
        <f aca="false">I37/I7</f>
        <v>9364.11118066883</v>
      </c>
      <c r="J65" s="42" t="n">
        <f aca="false">J37/J7</f>
        <v>10203.1054295856</v>
      </c>
      <c r="K65" s="42" t="n">
        <f aca="false">K37/K7</f>
        <v>10742.4634179569</v>
      </c>
      <c r="L65" s="42" t="n">
        <f aca="false">L37/L7</f>
        <v>11125.3056627412</v>
      </c>
      <c r="M65" s="42" t="n">
        <f aca="false">M37/M7</f>
        <v>11462.3837336414</v>
      </c>
      <c r="N65" s="42" t="n">
        <f aca="false">N37/N7</f>
        <v>11791.8774058161</v>
      </c>
      <c r="O65" s="42" t="n">
        <f aca="false">O37/O7</f>
        <v>12126.4686544592</v>
      </c>
      <c r="P65" s="42" t="n">
        <f aca="false">P37/P7</f>
        <v>12470.5342633525</v>
      </c>
      <c r="Q65" s="42" t="n">
        <f aca="false">Q37/Q7</f>
        <v>12825.8224563672</v>
      </c>
      <c r="R65" s="42" t="n">
        <f aca="false">R37/R7</f>
        <v>13193.2712980352</v>
      </c>
    </row>
    <row r="66" customFormat="false" ht="15" hidden="false" customHeight="false" outlineLevel="0" collapsed="false">
      <c r="A66" s="7" t="s">
        <v>630</v>
      </c>
      <c r="B66" s="17" t="s">
        <v>116</v>
      </c>
      <c r="D66" s="42" t="n">
        <f aca="false">Inputs!$D$42*(D65-Inputs!$D$43)</f>
        <v>9.3745</v>
      </c>
      <c r="E66" s="42" t="n">
        <f aca="false">Inputs!$D$42*(E65-D65)</f>
        <v>31.0049068159986</v>
      </c>
      <c r="F66" s="42" t="n">
        <f aca="false">Inputs!$D$42*(F65-E65)</f>
        <v>73.7377005631616</v>
      </c>
      <c r="G66" s="42" t="n">
        <f aca="false">Inputs!$D$42*(G65-F65)</f>
        <v>124.767956093493</v>
      </c>
      <c r="H66" s="42" t="n">
        <f aca="false">Inputs!$D$42*(H65-G65)</f>
        <v>137.324303420568</v>
      </c>
      <c r="I66" s="42" t="n">
        <f aca="false">Inputs!$D$42*(I65-H65)</f>
        <v>87.3706921402206</v>
      </c>
      <c r="J66" s="42" t="n">
        <f aca="false">Inputs!$D$42*(J65-I65)</f>
        <v>41.9497124458393</v>
      </c>
      <c r="K66" s="42" t="n">
        <f aca="false">Inputs!$D$42*(K65-J65)</f>
        <v>26.967899418564</v>
      </c>
      <c r="L66" s="42" t="n">
        <f aca="false">Inputs!$D$42*(L65-K65)</f>
        <v>19.1421122392164</v>
      </c>
      <c r="M66" s="42" t="n">
        <f aca="false">Inputs!$D$42*(M65-L65)</f>
        <v>16.8539035450085</v>
      </c>
      <c r="N66" s="42" t="n">
        <f aca="false">Inputs!$D$42*(N65-M65)</f>
        <v>16.4746836087341</v>
      </c>
      <c r="O66" s="42" t="n">
        <f aca="false">Inputs!$D$42*(O65-N65)</f>
        <v>16.7295624321544</v>
      </c>
      <c r="P66" s="42" t="n">
        <f aca="false">Inputs!$D$42*(P65-O65)</f>
        <v>17.2032804446688</v>
      </c>
      <c r="Q66" s="42" t="n">
        <f aca="false">Inputs!$D$42*(Q65-P65)</f>
        <v>17.7644096507337</v>
      </c>
      <c r="R66" s="42" t="n">
        <f aca="false">Inputs!$D$42*(R65-Q65)</f>
        <v>18.372442083399</v>
      </c>
    </row>
    <row r="67" customFormat="false" ht="15" hidden="false" customHeight="false" outlineLevel="0" collapsed="false">
      <c r="A67" s="7" t="s">
        <v>631</v>
      </c>
      <c r="B67" s="17" t="s">
        <v>116</v>
      </c>
      <c r="D67" s="42" t="n">
        <f aca="false">IF(AND(D$6&gt;=Inputs!$D$40,D$6&lt;Inputs!$D$40+Inputs!$D$41),Inputs!$D$39/Inputs!$D$41*D7,0)</f>
        <v>0</v>
      </c>
      <c r="E67" s="42" t="n">
        <f aca="false">IF(AND(E$6&gt;=Inputs!$D$40,E$6&lt;Inputs!$D$40+Inputs!$D$41),Inputs!$D$39/Inputs!$D$41*E7,0)</f>
        <v>53.3866</v>
      </c>
      <c r="F67" s="42" t="n">
        <f aca="false">IF(AND(F$6&gt;=Inputs!$D$40,F$6&lt;Inputs!$D$40+Inputs!$D$41),Inputs!$D$39/Inputs!$D$41*F7,0)</f>
        <v>53.3866</v>
      </c>
      <c r="G67" s="42" t="n">
        <f aca="false">IF(AND(G$6&gt;=Inputs!$D$40,G$6&lt;Inputs!$D$40+Inputs!$D$41),Inputs!$D$39/Inputs!$D$41*G7,0)</f>
        <v>53.3866</v>
      </c>
      <c r="H67" s="42" t="n">
        <f aca="false">IF(AND(H$6&gt;=Inputs!$D$40,H$6&lt;Inputs!$D$40+Inputs!$D$41),Inputs!$D$39/Inputs!$D$41*H7,0)</f>
        <v>53.3866</v>
      </c>
      <c r="I67" s="42" t="n">
        <f aca="false">IF(AND(I$6&gt;=Inputs!$D$40,I$6&lt;Inputs!$D$40+Inputs!$D$41),Inputs!$D$39/Inputs!$D$41*I7,0)</f>
        <v>53.3866</v>
      </c>
      <c r="J67" s="42" t="n">
        <f aca="false">IF(AND(J$6&gt;=Inputs!$D$40,J$6&lt;Inputs!$D$40+Inputs!$D$41),Inputs!$D$39/Inputs!$D$41*J7,0)</f>
        <v>0</v>
      </c>
      <c r="K67" s="42" t="n">
        <f aca="false">IF(AND(K$6&gt;=Inputs!$D$40,K$6&lt;Inputs!$D$40+Inputs!$D$41),Inputs!$D$39/Inputs!$D$41*K7,0)</f>
        <v>0</v>
      </c>
      <c r="L67" s="42" t="n">
        <f aca="false">IF(AND(L$6&gt;=Inputs!$D$40,L$6&lt;Inputs!$D$40+Inputs!$D$41),Inputs!$D$39/Inputs!$D$41*L7,0)</f>
        <v>0</v>
      </c>
      <c r="M67" s="42" t="n">
        <f aca="false">IF(AND(M$6&gt;=Inputs!$D$40,M$6&lt;Inputs!$D$40+Inputs!$D$41),Inputs!$D$39/Inputs!$D$41*M7,0)</f>
        <v>0</v>
      </c>
      <c r="N67" s="42" t="n">
        <f aca="false">IF(AND(N$6&gt;=Inputs!$D$40,N$6&lt;Inputs!$D$40+Inputs!$D$41),Inputs!$D$39/Inputs!$D$41*N7,0)</f>
        <v>0</v>
      </c>
      <c r="O67" s="42" t="n">
        <f aca="false">IF(AND(O$6&gt;=Inputs!$D$40,O$6&lt;Inputs!$D$40+Inputs!$D$41),Inputs!$D$39/Inputs!$D$41*O7,0)</f>
        <v>0</v>
      </c>
      <c r="P67" s="42" t="n">
        <f aca="false">IF(AND(P$6&gt;=Inputs!$D$40,P$6&lt;Inputs!$D$40+Inputs!$D$41),Inputs!$D$39/Inputs!$D$41*P7,0)</f>
        <v>0</v>
      </c>
      <c r="Q67" s="42" t="n">
        <f aca="false">IF(AND(Q$6&gt;=Inputs!$D$40,Q$6&lt;Inputs!$D$40+Inputs!$D$41),Inputs!$D$39/Inputs!$D$41*Q7,0)</f>
        <v>0</v>
      </c>
      <c r="R67" s="42" t="n">
        <f aca="false">IF(AND(R$6&gt;=Inputs!$D$40,R$6&lt;Inputs!$D$40+Inputs!$D$41),Inputs!$D$39/Inputs!$D$41*R7,0)</f>
        <v>0</v>
      </c>
    </row>
    <row r="68" customFormat="false" ht="15" hidden="false" customHeight="false" outlineLevel="0" collapsed="false">
      <c r="A68" s="3" t="s">
        <v>632</v>
      </c>
      <c r="B68" s="17" t="s">
        <v>116</v>
      </c>
      <c r="D68" s="55" t="n">
        <f aca="false">D49-D63-D22-D52-D53+D54-D66-D67</f>
        <v>-466.8745</v>
      </c>
      <c r="E68" s="55" t="n">
        <f aca="false">E49-E63-E22-E52-E53+E54-E66-E67</f>
        <v>-1654.12979379135</v>
      </c>
      <c r="F68" s="55" t="n">
        <f aca="false">F49-F63-F22-F52-F53+F54-F66-F67</f>
        <v>368.90982105031</v>
      </c>
      <c r="G68" s="55" t="n">
        <f aca="false">G49-G63-G22-G52-G53+G54-G66-G67</f>
        <v>2367.322491458</v>
      </c>
      <c r="H68" s="55" t="n">
        <f aca="false">H49-H63-H22-H52-H53+H54-H66-H67</f>
        <v>3765.75621760205</v>
      </c>
      <c r="I68" s="55" t="n">
        <f aca="false">I49-I63-I22-I52-I53+I54-I66-I67</f>
        <v>4689.68558990559</v>
      </c>
      <c r="J68" s="55" t="n">
        <f aca="false">J49-J63-J22-J52-J53+J54-J66-J67</f>
        <v>5274.94981726104</v>
      </c>
      <c r="K68" s="55" t="n">
        <f aca="false">K49-K63-K22-K52-K53+K54-K66-K67</f>
        <v>4968.09492324985</v>
      </c>
      <c r="L68" s="55" t="n">
        <f aca="false">L49-L63-L22-L52-L53+L54-L66-L67</f>
        <v>5082.98365007984</v>
      </c>
      <c r="M68" s="55" t="n">
        <f aca="false">M49-M63-M22-M52-M53+M54-M66-M67</f>
        <v>5528.46547345453</v>
      </c>
      <c r="N68" s="55" t="n">
        <f aca="false">N49-N63-N22-N52-N53+N54-N66-N67</f>
        <v>5974.27823118076</v>
      </c>
      <c r="O68" s="55" t="n">
        <f aca="false">O49-O63-O22-O52-O53+O54-O66-O67</f>
        <v>6145.1748550682</v>
      </c>
      <c r="P68" s="55" t="n">
        <f aca="false">P49-P63-P22-P52-P53+P54-P66-P67</f>
        <v>6512.56097156179</v>
      </c>
      <c r="Q68" s="55" t="n">
        <f aca="false">Q49-Q63-Q22-Q52-Q53+Q54-Q66-Q67</f>
        <v>6695.62435803583</v>
      </c>
      <c r="R68" s="55" t="n">
        <f aca="false">R49-R63-R22-R52-R53+R54-R66-R67</f>
        <v>6190.67831859006</v>
      </c>
    </row>
    <row r="69" customFormat="false" ht="15" hidden="false" customHeight="false" outlineLevel="0" collapsed="false">
      <c r="A69" s="7" t="s">
        <v>633</v>
      </c>
      <c r="B69" s="17" t="s">
        <v>116</v>
      </c>
      <c r="D69" s="42" t="n">
        <f aca="false">SUM($D$68:D68)</f>
        <v>-466.8745</v>
      </c>
      <c r="E69" s="42" t="n">
        <f aca="false">SUM($D$68:E68)</f>
        <v>-2121.00429379135</v>
      </c>
      <c r="F69" s="42" t="n">
        <f aca="false">SUM($D$68:F68)</f>
        <v>-1752.09447274104</v>
      </c>
      <c r="G69" s="42" t="n">
        <f aca="false">SUM($D$68:G68)</f>
        <v>615.228018716955</v>
      </c>
      <c r="H69" s="42" t="n">
        <f aca="false">SUM($D$68:H68)</f>
        <v>4380.984236319</v>
      </c>
      <c r="I69" s="42" t="n">
        <f aca="false">SUM($D$68:I68)</f>
        <v>9070.66982622459</v>
      </c>
      <c r="J69" s="42" t="n">
        <f aca="false">SUM($D$68:J68)</f>
        <v>14345.6196434856</v>
      </c>
      <c r="K69" s="42" t="n">
        <f aca="false">SUM($D$68:K68)</f>
        <v>19313.7145667355</v>
      </c>
      <c r="L69" s="42" t="n">
        <f aca="false">SUM($D$68:L68)</f>
        <v>24396.6982168153</v>
      </c>
      <c r="M69" s="42" t="n">
        <f aca="false">SUM($D$68:M68)</f>
        <v>29925.1636902699</v>
      </c>
      <c r="N69" s="42" t="n">
        <f aca="false">SUM($D$68:N68)</f>
        <v>35899.4419214506</v>
      </c>
      <c r="O69" s="42" t="n">
        <f aca="false">SUM($D$68:O68)</f>
        <v>42044.6167765188</v>
      </c>
      <c r="P69" s="42" t="n">
        <f aca="false">SUM($D$68:P68)</f>
        <v>48557.1777480806</v>
      </c>
      <c r="Q69" s="42" t="n">
        <f aca="false">SUM($D$68:Q68)</f>
        <v>55252.8021061164</v>
      </c>
      <c r="R69" s="42" t="n">
        <f aca="false">SUM($D$68:R68)</f>
        <v>61443.4804247065</v>
      </c>
    </row>
    <row r="70" customFormat="false" ht="15" hidden="false" customHeight="false" outlineLevel="0" collapsed="false">
      <c r="A70" s="5" t="s">
        <v>634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customFormat="false" ht="15" hidden="false" customHeight="false" outlineLevel="0" collapsed="false">
      <c r="A71" s="7" t="s">
        <v>635</v>
      </c>
      <c r="B71" s="17" t="s">
        <v>68</v>
      </c>
      <c r="D71" s="23" t="n">
        <f aca="false">WACC!D$21</f>
        <v>0.103496717614723</v>
      </c>
      <c r="E71" s="23" t="n">
        <f aca="false">WACC!E$21</f>
        <v>0.103496717614723</v>
      </c>
      <c r="F71" s="23" t="n">
        <f aca="false">WACC!F$21</f>
        <v>0.103496717614723</v>
      </c>
      <c r="G71" s="23" t="n">
        <f aca="false">WACC!G$21</f>
        <v>0.103496717614723</v>
      </c>
      <c r="H71" s="23" t="n">
        <f aca="false">WACC!H$21</f>
        <v>0.103496717614723</v>
      </c>
      <c r="I71" s="23" t="n">
        <f aca="false">WACC!I$21</f>
        <v>0.0993123740917783</v>
      </c>
      <c r="J71" s="23" t="n">
        <f aca="false">WACC!J$21</f>
        <v>0.0951280305688338</v>
      </c>
      <c r="K71" s="23" t="n">
        <f aca="false">WACC!K$21</f>
        <v>0.0909436870458892</v>
      </c>
      <c r="L71" s="23" t="n">
        <f aca="false">WACC!L$21</f>
        <v>0.0867593435229446</v>
      </c>
      <c r="M71" s="23" t="n">
        <f aca="false">WACC!M$21</f>
        <v>0.082575</v>
      </c>
      <c r="N71" s="23" t="n">
        <f aca="false">WACC!N$21</f>
        <v>0.082575</v>
      </c>
      <c r="O71" s="23" t="n">
        <f aca="false">WACC!O$21</f>
        <v>0.082575</v>
      </c>
      <c r="P71" s="23" t="n">
        <f aca="false">WACC!P$21</f>
        <v>0.082575</v>
      </c>
      <c r="Q71" s="23" t="n">
        <f aca="false">WACC!Q$21</f>
        <v>0.082575</v>
      </c>
      <c r="R71" s="23" t="n">
        <f aca="false">WACC!R$21</f>
        <v>0.082575</v>
      </c>
    </row>
    <row r="72" customFormat="false" ht="15" hidden="false" customHeight="false" outlineLevel="0" collapsed="false">
      <c r="A72" s="7" t="s">
        <v>636</v>
      </c>
      <c r="B72" s="17" t="s">
        <v>637</v>
      </c>
      <c r="D72" s="45" t="n">
        <f aca="false">(1+D71)^(D8+D7-Inputs!$D$6)</f>
        <v>1.03100085196045</v>
      </c>
      <c r="E72" s="45" t="n">
        <f aca="false">D72*(1+E71)^E7</f>
        <v>1.13770605599634</v>
      </c>
      <c r="F72" s="45" t="n">
        <f aca="false">E72*(1+F71)^F7</f>
        <v>1.25545489840236</v>
      </c>
      <c r="G72" s="45" t="n">
        <f aca="false">F72*(1+G71)^G7</f>
        <v>1.38539035950032</v>
      </c>
      <c r="H72" s="45" t="n">
        <f aca="false">G72*(1+H71)^H7</f>
        <v>1.52877371432369</v>
      </c>
      <c r="I72" s="45" t="n">
        <f aca="false">H72*(1+I71)^I7</f>
        <v>1.68059986134228</v>
      </c>
      <c r="J72" s="45" t="n">
        <f aca="false">I72*(1+J71)^J7</f>
        <v>1.84047201632603</v>
      </c>
      <c r="K72" s="45" t="n">
        <f aca="false">J72*(1+K71)^K7</f>
        <v>2.0078513273955</v>
      </c>
      <c r="L72" s="45" t="n">
        <f aca="false">K72*(1+L71)^L7</f>
        <v>2.182051190452</v>
      </c>
      <c r="M72" s="45" t="n">
        <f aca="false">L72*(1+M71)^M7</f>
        <v>2.36223406750358</v>
      </c>
      <c r="N72" s="45" t="n">
        <f aca="false">M72*(1+N71)^N7</f>
        <v>2.55729554562769</v>
      </c>
      <c r="O72" s="45" t="n">
        <f aca="false">N72*(1+O71)^O7</f>
        <v>2.76846422530789</v>
      </c>
      <c r="P72" s="45" t="n">
        <f aca="false">O72*(1+P71)^P7</f>
        <v>2.99707015871269</v>
      </c>
      <c r="Q72" s="45" t="n">
        <f aca="false">P72*(1+Q71)^Q7</f>
        <v>3.24455322706839</v>
      </c>
      <c r="R72" s="45" t="n">
        <f aca="false">Q72*(1+R71)^R7</f>
        <v>3.51247220979357</v>
      </c>
    </row>
    <row r="73" customFormat="false" ht="15" hidden="false" customHeight="false" outlineLevel="0" collapsed="false">
      <c r="A73" s="7" t="s">
        <v>638</v>
      </c>
      <c r="B73" s="17" t="s">
        <v>637</v>
      </c>
      <c r="D73" s="45" t="n">
        <f aca="false">1/(1+D71)^(D9-Inputs!$D$6)</f>
        <v>0.994108385699078</v>
      </c>
      <c r="E73" s="45" t="n">
        <f aca="false">1/(D72*(1+E71)^(E7/2))</f>
        <v>0.923326824776453</v>
      </c>
      <c r="F73" s="45" t="n">
        <f aca="false">1/(E72*(1+F71)^(F7/2))</f>
        <v>0.836728202302478</v>
      </c>
      <c r="G73" s="45" t="n">
        <f aca="false">1/(F72*(1+G71)^(G7/2))</f>
        <v>0.75825164583282</v>
      </c>
      <c r="H73" s="45" t="n">
        <f aca="false">1/(G72*(1+H71)^(H7/2))</f>
        <v>0.687135388559948</v>
      </c>
      <c r="I73" s="45" t="n">
        <f aca="false">1/(H72*(1+I71)^(I7/2))</f>
        <v>0.623873063572163</v>
      </c>
      <c r="J73" s="45" t="n">
        <f aca="false">1/(I72*(1+J71)^(J7/2))</f>
        <v>0.568595252263519</v>
      </c>
      <c r="K73" s="45" t="n">
        <f aca="false">1/(J72*(1+K71)^(K7/2))</f>
        <v>0.520199121813138</v>
      </c>
      <c r="L73" s="45" t="n">
        <f aca="false">1/(K72*(1+L71)^(L7/2))</f>
        <v>0.477751166978813</v>
      </c>
      <c r="M73" s="45" t="n">
        <f aca="false">1/(L72*(1+M71)^(M7/2))</f>
        <v>0.440459588117527</v>
      </c>
      <c r="N73" s="45" t="n">
        <f aca="false">1/(M72*(1+N71)^(N7/2))</f>
        <v>0.406862885359007</v>
      </c>
      <c r="O73" s="45" t="n">
        <f aca="false">1/(N72*(1+O71)^(O7/2))</f>
        <v>0.375828820505745</v>
      </c>
      <c r="P73" s="45" t="n">
        <f aca="false">1/(O72*(1+P71)^(P7/2))</f>
        <v>0.34716192458328</v>
      </c>
      <c r="Q73" s="45" t="n">
        <f aca="false">1/(P72*(1+Q71)^(Q7/2))</f>
        <v>0.320681638300608</v>
      </c>
      <c r="R73" s="45" t="n">
        <f aca="false">1/(Q72*(1+R71)^(R7/2))</f>
        <v>0.296221174792146</v>
      </c>
    </row>
    <row r="74" customFormat="false" ht="15" hidden="false" customHeight="false" outlineLevel="0" collapsed="false">
      <c r="A74" s="3" t="s">
        <v>639</v>
      </c>
      <c r="B74" s="17" t="s">
        <v>116</v>
      </c>
      <c r="D74" s="55" t="n">
        <f aca="false">D68*D73</f>
        <v>-464.123855519064</v>
      </c>
      <c r="E74" s="55" t="n">
        <f aca="false">E68*E73</f>
        <v>-1527.3024102695</v>
      </c>
      <c r="F74" s="55" t="n">
        <f aca="false">F68*F73</f>
        <v>308.677251379155</v>
      </c>
      <c r="G74" s="55" t="n">
        <f aca="false">G68*G73</f>
        <v>1795.02617536508</v>
      </c>
      <c r="H74" s="55" t="n">
        <f aca="false">H68*H73</f>
        <v>2587.58436180403</v>
      </c>
      <c r="I74" s="55" t="n">
        <f aca="false">I68*I73</f>
        <v>2925.76851616463</v>
      </c>
      <c r="J74" s="55" t="n">
        <f aca="false">J68*J73</f>
        <v>2999.31142202294</v>
      </c>
      <c r="K74" s="55" t="n">
        <f aca="false">K68*K73</f>
        <v>2584.39861615888</v>
      </c>
      <c r="L74" s="55" t="n">
        <f aca="false">L68*L73</f>
        <v>2428.40137055987</v>
      </c>
      <c r="M74" s="55" t="n">
        <f aca="false">M68*M73</f>
        <v>2435.06562535975</v>
      </c>
      <c r="N74" s="55" t="n">
        <f aca="false">N68*N73</f>
        <v>2430.71207907571</v>
      </c>
      <c r="O74" s="55" t="n">
        <f aca="false">O68*O73</f>
        <v>2309.53381758184</v>
      </c>
      <c r="P74" s="55" t="n">
        <f aca="false">P68*P73</f>
        <v>2260.91320085335</v>
      </c>
      <c r="Q74" s="55" t="n">
        <f aca="false">Q68*Q73</f>
        <v>2147.16378858038</v>
      </c>
      <c r="R74" s="55" t="n">
        <f aca="false">R68*R73</f>
        <v>1833.81000429302</v>
      </c>
    </row>
    <row r="75" customFormat="false" ht="15" hidden="false" customHeight="false" outlineLevel="0" collapsed="false">
      <c r="A75" s="5" t="s">
        <v>640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customFormat="false" ht="15" hidden="false" customHeight="false" outlineLevel="0" collapsed="false">
      <c r="A76" s="7" t="s">
        <v>641</v>
      </c>
      <c r="C76" s="48" t="n">
        <f aca="false">WACC!$C$16</f>
        <v>0.082575</v>
      </c>
    </row>
    <row r="77" customFormat="false" ht="15" hidden="false" customHeight="false" outlineLevel="0" collapsed="false">
      <c r="A77" s="7" t="s">
        <v>642</v>
      </c>
      <c r="C77" s="48" t="n">
        <f aca="false">Inputs!$D$20</f>
        <v>0.025</v>
      </c>
    </row>
    <row r="78" customFormat="false" ht="15" hidden="false" customHeight="false" outlineLevel="0" collapsed="false">
      <c r="A78" s="7" t="s">
        <v>643</v>
      </c>
      <c r="C78" s="42" t="n">
        <f aca="false">R49*(1+C77)</f>
        <v>9827.02469449562</v>
      </c>
    </row>
    <row r="79" customFormat="false" ht="15" hidden="false" customHeight="false" outlineLevel="0" collapsed="false">
      <c r="A79" s="7" t="s">
        <v>644</v>
      </c>
      <c r="C79" s="42" t="n">
        <f aca="false">Inputs!$G$63/ROUND(Inputs!$D$26,0)/(1-Inputs!$D$27)*R18*(1+C77)</f>
        <v>464.403268704533</v>
      </c>
    </row>
    <row r="80" customFormat="false" ht="15" hidden="false" customHeight="false" outlineLevel="0" collapsed="false">
      <c r="A80" s="7" t="s">
        <v>645</v>
      </c>
      <c r="C80" s="42" t="n">
        <f aca="false">R52*(1+C77)</f>
        <v>405.693092414582</v>
      </c>
    </row>
    <row r="81" customFormat="false" ht="15" hidden="false" customHeight="false" outlineLevel="0" collapsed="false">
      <c r="A81" s="7" t="s">
        <v>646</v>
      </c>
      <c r="C81" s="42" t="n">
        <f aca="false">Inputs!$D$22*MAX(0,C78-C79-C80)</f>
        <v>2239.23208334413</v>
      </c>
    </row>
    <row r="82" customFormat="false" ht="15" hidden="false" customHeight="false" outlineLevel="0" collapsed="false">
      <c r="A82" s="7" t="s">
        <v>647</v>
      </c>
      <c r="C82" s="42" t="n">
        <f aca="false">Inputs!$D$42*R37*C77</f>
        <v>16.491589122544</v>
      </c>
    </row>
    <row r="83" customFormat="false" ht="15" hidden="false" customHeight="false" outlineLevel="0" collapsed="false">
      <c r="A83" s="3" t="s">
        <v>648</v>
      </c>
      <c r="C83" s="43" t="n">
        <f aca="false">C78-C81-C79-C80-C82</f>
        <v>6701.20466090984</v>
      </c>
    </row>
    <row r="84" customFormat="false" ht="15" hidden="false" customHeight="false" outlineLevel="0" collapsed="false">
      <c r="A84" s="7" t="s">
        <v>649</v>
      </c>
      <c r="C84" s="42" t="n">
        <f aca="false">C83*(1+C76)^0.5/(C76-C77)</f>
        <v>121101.056525395</v>
      </c>
    </row>
    <row r="85" customFormat="false" ht="15" hidden="false" customHeight="false" outlineLevel="0" collapsed="false">
      <c r="A85" s="7" t="s">
        <v>650</v>
      </c>
      <c r="C85" s="42" t="n">
        <f aca="false">C84/R72</f>
        <v>34477.4418962626</v>
      </c>
    </row>
    <row r="86" customFormat="false" ht="15" hidden="false" customHeight="false" outlineLevel="0" collapsed="false">
      <c r="A86" s="7" t="s">
        <v>651</v>
      </c>
      <c r="C86" s="42" t="n">
        <f aca="false">SUM(D74:R74)</f>
        <v>27054.9399634101</v>
      </c>
    </row>
    <row r="87" customFormat="false" ht="15" hidden="false" customHeight="false" outlineLevel="0" collapsed="false">
      <c r="A87" s="3" t="s">
        <v>652</v>
      </c>
      <c r="C87" s="43" t="n">
        <f aca="false">C86+C85</f>
        <v>61532.3818596727</v>
      </c>
    </row>
    <row r="88" customFormat="false" ht="15" hidden="false" customHeight="false" outlineLevel="0" collapsed="false">
      <c r="A88" s="7" t="s">
        <v>38</v>
      </c>
      <c r="C88" s="41" t="n">
        <f aca="false">IF(C87&lt;=0,0,C85/C87)</f>
        <v>0.560313786891753</v>
      </c>
    </row>
    <row r="89" customFormat="false" ht="15" hidden="false" customHeight="false" outlineLevel="0" collapsed="false">
      <c r="A89" s="7" t="s">
        <v>653</v>
      </c>
      <c r="C89" s="24" t="n">
        <f aca="false">IF(C78&lt;=0,"n/m",C84/C78)</f>
        <v>12.3232677529778</v>
      </c>
    </row>
    <row r="90" customFormat="false" ht="15" hidden="false" customHeight="false" outlineLevel="0" collapsed="false">
      <c r="A90" s="5" t="s">
        <v>654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customFormat="false" ht="15" hidden="false" customHeight="false" outlineLevel="0" collapsed="false">
      <c r="A91" s="7" t="s">
        <v>655</v>
      </c>
      <c r="C91" s="42" t="n">
        <f aca="false">Capital_Structure!$D$20</f>
        <v>3755.203</v>
      </c>
    </row>
    <row r="92" customFormat="false" ht="15" hidden="false" customHeight="false" outlineLevel="0" collapsed="false">
      <c r="A92" s="7" t="s">
        <v>656</v>
      </c>
      <c r="C92" s="42" t="n">
        <f aca="false">Capital_Structure!$B$26</f>
        <v>468.638</v>
      </c>
    </row>
    <row r="93" customFormat="false" ht="15" hidden="false" customHeight="false" outlineLevel="0" collapsed="false">
      <c r="A93" s="7" t="s">
        <v>657</v>
      </c>
      <c r="C93" s="42" t="n">
        <f aca="false">Capital_Structure!$B$35</f>
        <v>3703.514</v>
      </c>
    </row>
    <row r="94" customFormat="false" ht="15" hidden="false" customHeight="false" outlineLevel="0" collapsed="false">
      <c r="A94" s="3" t="s">
        <v>658</v>
      </c>
      <c r="C94" s="43" t="n">
        <f aca="false">C87+C91-C92-C93</f>
        <v>61115.4328596727</v>
      </c>
    </row>
    <row r="95" customFormat="false" ht="15" hidden="false" customHeight="false" outlineLevel="0" collapsed="false">
      <c r="A95" s="7" t="s">
        <v>659</v>
      </c>
      <c r="C95" s="42" t="n">
        <f aca="false">Capital_Structure!$B$9</f>
        <v>389.167494</v>
      </c>
    </row>
    <row r="96" customFormat="false" ht="15" hidden="false" customHeight="false" outlineLevel="0" collapsed="false">
      <c r="A96" s="3" t="s">
        <v>396</v>
      </c>
      <c r="B96" s="3" t="s">
        <v>367</v>
      </c>
      <c r="C96" s="3" t="s">
        <v>366</v>
      </c>
      <c r="D96" s="3" t="s">
        <v>660</v>
      </c>
      <c r="E96" s="3" t="s">
        <v>661</v>
      </c>
      <c r="F96" s="3" t="s">
        <v>662</v>
      </c>
      <c r="H96" s="17" t="s">
        <v>663</v>
      </c>
    </row>
    <row r="97" customFormat="false" ht="15" hidden="false" customHeight="false" outlineLevel="0" collapsed="false">
      <c r="A97" s="47" t="str">
        <f aca="false">Capital_Structure!A48</f>
        <v>2032 4.25% converts</v>
      </c>
      <c r="B97" s="15" t="n">
        <f aca="false">Capital_Structure!B48</f>
        <v>26.99</v>
      </c>
      <c r="C97" s="22" t="n">
        <f aca="false">Capital_Structure!C48</f>
        <v>0.130196369025565</v>
      </c>
      <c r="D97" s="16" t="n">
        <f aca="false">Capital_Structure!D48</f>
        <v>3.514</v>
      </c>
      <c r="E97" s="57" t="n">
        <f aca="false">($C$94+SUMIF($B$97:$B$106,"&lt;="&amp;B97,$D$97:$D$106))/($C$95+SUMIF($B$97:$B$106,"&lt;="&amp;B97,$C$97:$C$106))</f>
        <v>151.219186045389</v>
      </c>
      <c r="F97" s="58" t="n">
        <f aca="false">IF(E97&gt;B97,1,0)</f>
        <v>1</v>
      </c>
    </row>
    <row r="98" customFormat="false" ht="15" hidden="false" customHeight="false" outlineLevel="0" collapsed="false">
      <c r="A98" s="47" t="str">
        <f aca="false">Capital_Structure!A49</f>
        <v>2032 2.375% converts</v>
      </c>
      <c r="B98" s="15" t="n">
        <f aca="false">Capital_Structure!B49</f>
        <v>72.07</v>
      </c>
      <c r="C98" s="22" t="n">
        <f aca="false">Capital_Structure!C49</f>
        <v>4.50950464825864</v>
      </c>
      <c r="D98" s="16" t="n">
        <f aca="false">Capital_Structure!D49</f>
        <v>325</v>
      </c>
      <c r="E98" s="57" t="n">
        <f aca="false">($C$94+SUMIF($B$97:$B$106,"&lt;="&amp;B98,$D$97:$D$106))/($C$95+SUMIF($B$97:$B$106,"&lt;="&amp;B98,$C$97:$C$106))</f>
        <v>150.346187236439</v>
      </c>
      <c r="F98" s="58" t="n">
        <f aca="false">IF(E98&gt;B98,1,0)</f>
        <v>1</v>
      </c>
    </row>
    <row r="99" customFormat="false" ht="15" hidden="false" customHeight="false" outlineLevel="0" collapsed="false">
      <c r="A99" s="47" t="str">
        <f aca="false">Capital_Structure!A50</f>
        <v>2036 2.00% converts</v>
      </c>
      <c r="B99" s="15" t="n">
        <f aca="false">Capital_Structure!B50</f>
        <v>96.3</v>
      </c>
      <c r="C99" s="22" t="n">
        <f aca="false">Capital_Structure!C50</f>
        <v>11.9418483904465</v>
      </c>
      <c r="D99" s="16" t="n">
        <f aca="false">Capital_Structure!D50</f>
        <v>1150</v>
      </c>
      <c r="E99" s="57" t="n">
        <f aca="false">($C$94+SUMIF($B$97:$B$106,"&lt;="&amp;B99,$D$97:$D$106))/($C$95+SUMIF($B$97:$B$106,"&lt;="&amp;B99,$C$97:$C$106))</f>
        <v>148.81237714444</v>
      </c>
      <c r="F99" s="58" t="n">
        <f aca="false">IF(E99&gt;B99,1,0)</f>
        <v>1</v>
      </c>
    </row>
    <row r="100" customFormat="false" ht="15" hidden="false" customHeight="false" outlineLevel="0" collapsed="false">
      <c r="A100" s="47" t="str">
        <f aca="false">Capital_Structure!A51</f>
        <v>2036 2.25% converts</v>
      </c>
      <c r="B100" s="15" t="n">
        <f aca="false">Capital_Structure!B51</f>
        <v>116.3</v>
      </c>
      <c r="C100" s="22" t="n">
        <f aca="false">Capital_Structure!C51</f>
        <v>9.24333619948409</v>
      </c>
      <c r="D100" s="16" t="n">
        <f aca="false">Capital_Structure!D51</f>
        <v>1075</v>
      </c>
      <c r="E100" s="57" t="n">
        <f aca="false">($C$94+SUMIF($B$97:$B$106,"&lt;="&amp;B100,$D$97:$D$106))/($C$95+SUMIF($B$97:$B$106,"&lt;="&amp;B100,$C$97:$C$106))</f>
        <v>148.11354040535</v>
      </c>
      <c r="F100" s="58" t="n">
        <f aca="false">IF(E100&gt;B100,1,0)</f>
        <v>1</v>
      </c>
    </row>
    <row r="101" customFormat="false" ht="15" hidden="false" customHeight="false" outlineLevel="0" collapsed="false">
      <c r="A101" s="47" t="str">
        <f aca="false">Capital_Structure!A52</f>
        <v>2034 1.625% converts (Jul-2026)</v>
      </c>
      <c r="B101" s="15" t="n">
        <f aca="false">Capital_Structure!B52</f>
        <v>149.2</v>
      </c>
      <c r="C101" s="22" t="n">
        <f aca="false">Capital_Structure!C52</f>
        <v>14.4526831720498</v>
      </c>
      <c r="D101" s="16" t="n">
        <f aca="false">Capital_Structure!D52</f>
        <v>2156.34032926983</v>
      </c>
      <c r="E101" s="57" t="n">
        <f aca="false">($C$94+SUMIF($B$97:$B$106,"&lt;="&amp;B101,$D$97:$D$106))/($C$95+SUMIF($B$97:$B$106,"&lt;="&amp;B101,$C$97:$C$106))</f>
        <v>148.148867207206</v>
      </c>
      <c r="F101" s="58" t="n">
        <f aca="false">IF(E101&gt;B101,1,0)</f>
        <v>0</v>
      </c>
    </row>
    <row r="102" customFormat="false" ht="15" hidden="false" customHeight="false" outlineLevel="0" collapsed="false">
      <c r="A102" s="47" t="str">
        <f aca="false">Capital_Structure!A53</f>
        <v>2020 Plan stock options</v>
      </c>
      <c r="B102" s="15" t="n">
        <f aca="false">Capital_Structure!B53</f>
        <v>9.2</v>
      </c>
      <c r="C102" s="22" t="n">
        <f aca="false">Capital_Structure!C53</f>
        <v>1.957612</v>
      </c>
      <c r="D102" s="16" t="n">
        <f aca="false">Capital_Structure!D53</f>
        <v>18.0100304</v>
      </c>
      <c r="E102" s="57" t="n">
        <f aca="false">($C$94+SUMIF($B$97:$B$106,"&lt;="&amp;B102,$D$97:$D$106))/($C$95+SUMIF($B$97:$B$106,"&lt;="&amp;B102,$C$97:$C$106))</f>
        <v>151.276655389309</v>
      </c>
      <c r="F102" s="58" t="n">
        <f aca="false">IF(E102&gt;B102,1,0)</f>
        <v>1</v>
      </c>
    </row>
    <row r="103" customFormat="false" ht="15" hidden="false" customHeight="false" outlineLevel="0" collapsed="false">
      <c r="A103" s="47" t="str">
        <f aca="false">Capital_Structure!A54</f>
        <v>2024 Plan stock options</v>
      </c>
      <c r="B103" s="15" t="n">
        <f aca="false">Capital_Structure!B54</f>
        <v>24.65</v>
      </c>
      <c r="C103" s="22" t="n">
        <f aca="false">Capital_Structure!C54</f>
        <v>0.055718</v>
      </c>
      <c r="D103" s="16" t="n">
        <f aca="false">Capital_Structure!D54</f>
        <v>1.3734487</v>
      </c>
      <c r="E103" s="57" t="n">
        <f aca="false">($C$94+SUMIF($B$97:$B$106,"&lt;="&amp;B103,$D$97:$D$106))/($C$95+SUMIF($B$97:$B$106,"&lt;="&amp;B103,$C$97:$C$106))</f>
        <v>151.259200557494</v>
      </c>
      <c r="F103" s="58" t="n">
        <f aca="false">IF(E103&gt;B103,1,0)</f>
        <v>1</v>
      </c>
    </row>
    <row r="104" customFormat="false" ht="15" hidden="false" customHeight="false" outlineLevel="0" collapsed="false">
      <c r="A104" s="47" t="str">
        <f aca="false">Capital_Structure!A55</f>
        <v>AST LLC incentive options</v>
      </c>
      <c r="B104" s="15" t="n">
        <f aca="false">Capital_Structure!B55</f>
        <v>1.01</v>
      </c>
      <c r="C104" s="22" t="n">
        <f aca="false">Capital_Structure!C55</f>
        <v>5.320887</v>
      </c>
      <c r="D104" s="16" t="n">
        <f aca="false">Capital_Structure!D55</f>
        <v>5.37409587</v>
      </c>
      <c r="E104" s="57" t="n">
        <f aca="false">($C$94+SUMIF($B$97:$B$106,"&lt;="&amp;B104,$D$97:$D$106))/($C$95+SUMIF($B$97:$B$106,"&lt;="&amp;B104,$C$97:$C$106))</f>
        <v>151.968188454512</v>
      </c>
      <c r="F104" s="58" t="n">
        <f aca="false">IF(E104&gt;B104,1,0)</f>
        <v>1</v>
      </c>
    </row>
    <row r="105" customFormat="false" ht="15" hidden="false" customHeight="false" outlineLevel="0" collapsed="false">
      <c r="A105" s="47" t="str">
        <f aca="false">Capital_Structure!A56</f>
        <v>2020 Plan RSUs</v>
      </c>
      <c r="B105" s="15" t="n">
        <f aca="false">Capital_Structure!B56</f>
        <v>0</v>
      </c>
      <c r="C105" s="22" t="n">
        <f aca="false">Capital_Structure!C56</f>
        <v>0.832699</v>
      </c>
      <c r="D105" s="16" t="n">
        <f aca="false">Capital_Structure!D56</f>
        <v>0</v>
      </c>
      <c r="E105" s="57" t="n">
        <f aca="false">($C$94+SUMIF($B$97:$B$106,"&lt;="&amp;B105,$D$97:$D$106))/($C$95+SUMIF($B$97:$B$106,"&lt;="&amp;B105,$C$97:$C$106))</f>
        <v>153.992084572324</v>
      </c>
      <c r="F105" s="58" t="n">
        <f aca="false">IF(E105&gt;B105,1,0)</f>
        <v>1</v>
      </c>
    </row>
    <row r="106" customFormat="false" ht="15" hidden="false" customHeight="false" outlineLevel="0" collapsed="false">
      <c r="A106" s="47" t="str">
        <f aca="false">Capital_Structure!A57</f>
        <v>2024 Plan RSUs</v>
      </c>
      <c r="B106" s="15" t="n">
        <f aca="false">Capital_Structure!B57</f>
        <v>0</v>
      </c>
      <c r="C106" s="22" t="n">
        <f aca="false">Capital_Structure!C57</f>
        <v>6.873666</v>
      </c>
      <c r="D106" s="16" t="n">
        <f aca="false">Capital_Structure!D57</f>
        <v>0</v>
      </c>
      <c r="E106" s="57" t="n">
        <f aca="false">($C$94+SUMIF($B$97:$B$106,"&lt;="&amp;B106,$D$97:$D$106))/($C$95+SUMIF($B$97:$B$106,"&lt;="&amp;B106,$C$97:$C$106))</f>
        <v>153.992084572324</v>
      </c>
      <c r="F106" s="58" t="n">
        <f aca="false">IF(E106&gt;B106,1,0)</f>
        <v>1</v>
      </c>
    </row>
    <row r="107" customFormat="false" ht="15" hidden="false" customHeight="false" outlineLevel="0" collapsed="false">
      <c r="A107" s="7" t="s">
        <v>664</v>
      </c>
      <c r="C107" s="42" t="n">
        <f aca="false">C94+SUMPRODUCT(F97:F106,D97:D106)</f>
        <v>63693.7044346427</v>
      </c>
    </row>
    <row r="108" customFormat="false" ht="15" hidden="false" customHeight="false" outlineLevel="0" collapsed="false">
      <c r="A108" s="7" t="s">
        <v>40</v>
      </c>
      <c r="C108" s="42" t="n">
        <f aca="false">C95+SUMPRODUCT(F97:F106,C97:C106)</f>
        <v>430.032961607215</v>
      </c>
    </row>
    <row r="109" customFormat="false" ht="15" hidden="false" customHeight="false" outlineLevel="0" collapsed="false">
      <c r="A109" s="3" t="s">
        <v>665</v>
      </c>
      <c r="C109" s="20" t="n">
        <f aca="false">MAX(0,C107/C108)</f>
        <v>148.11354040535</v>
      </c>
    </row>
    <row r="110" customFormat="false" ht="15" hidden="false" customHeight="false" outlineLevel="0" collapsed="false">
      <c r="A110" s="7" t="s">
        <v>666</v>
      </c>
      <c r="C110" s="41" t="n">
        <f aca="false">C109/Market_Data!$J$7-1</f>
        <v>1.37285389947693</v>
      </c>
    </row>
    <row r="111" customFormat="false" ht="15" hidden="false" customHeight="false" outlineLevel="0" collapsed="false">
      <c r="A111" s="5" t="s">
        <v>667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customFormat="false" ht="15" hidden="false" customHeight="false" outlineLevel="0" collapsed="false">
      <c r="A112" s="7" t="s">
        <v>668</v>
      </c>
      <c r="C112" s="42" t="n">
        <f aca="false">Inputs!$D$36+D37</f>
        <v>186.255</v>
      </c>
    </row>
    <row r="113" customFormat="false" ht="15" hidden="false" customHeight="false" outlineLevel="0" collapsed="false">
      <c r="A113" s="7" t="s">
        <v>669</v>
      </c>
      <c r="C113" s="42" t="n">
        <f aca="false">MIN(D69:R69)</f>
        <v>-2121.00429379135</v>
      </c>
    </row>
    <row r="114" customFormat="false" ht="15" hidden="false" customHeight="false" outlineLevel="0" collapsed="false">
      <c r="A114" s="7" t="s">
        <v>44</v>
      </c>
      <c r="C114" s="45" t="n">
        <f aca="false">MAX(D39:R39)</f>
        <v>2.15525333426632</v>
      </c>
    </row>
    <row r="115" customFormat="false" ht="15" hidden="false" customHeight="false" outlineLevel="0" collapsed="false">
      <c r="A115" s="7" t="s">
        <v>670</v>
      </c>
      <c r="C115" s="41" t="n">
        <f aca="false">IF(N37&lt;=0,0,(R37/N37)^(1/4)-1)</f>
        <v>0.0284717912098575</v>
      </c>
    </row>
    <row r="116" customFormat="false" ht="15" hidden="false" customHeight="false" outlineLevel="0" collapsed="false">
      <c r="A116" s="7" t="s">
        <v>26</v>
      </c>
      <c r="C116" s="41" t="n">
        <f aca="false">R50</f>
        <v>0.726684152003255</v>
      </c>
    </row>
    <row r="117" customFormat="false" ht="15" hidden="false" customHeight="false" outlineLevel="0" collapsed="false">
      <c r="A117" s="7" t="s">
        <v>671</v>
      </c>
      <c r="C117" s="42" t="n">
        <f aca="false">H37</f>
        <v>7616.69733786442</v>
      </c>
    </row>
    <row r="118" customFormat="false" ht="15" hidden="false" customHeight="false" outlineLevel="0" collapsed="false">
      <c r="A118" s="7" t="s">
        <v>672</v>
      </c>
      <c r="C118" s="42" t="n">
        <f aca="false">M37</f>
        <v>11462.3837336414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19" min="4" style="0" width="10"/>
  </cols>
  <sheetData>
    <row r="1" customFormat="false" ht="17.35" hidden="false" customHeight="false" outlineLevel="0" collapsed="false">
      <c r="A1" s="1" t="s">
        <v>677</v>
      </c>
    </row>
    <row r="2" customFormat="false" ht="15" hidden="false" customHeight="false" outlineLevel="0" collapsed="false">
      <c r="A2" s="2" t="s">
        <v>678</v>
      </c>
    </row>
    <row r="5" customFormat="false" ht="15" hidden="false" customHeight="false" outlineLevel="0" collapsed="false">
      <c r="A5" s="7" t="s">
        <v>415</v>
      </c>
      <c r="B5" s="17"/>
      <c r="D5" s="3" t="s">
        <v>416</v>
      </c>
      <c r="E5" s="3" t="s">
        <v>417</v>
      </c>
      <c r="F5" s="3" t="s">
        <v>418</v>
      </c>
      <c r="G5" s="3" t="s">
        <v>419</v>
      </c>
      <c r="H5" s="3" t="s">
        <v>420</v>
      </c>
      <c r="I5" s="3" t="s">
        <v>421</v>
      </c>
      <c r="J5" s="3" t="s">
        <v>422</v>
      </c>
      <c r="K5" s="3" t="s">
        <v>423</v>
      </c>
      <c r="L5" s="3" t="s">
        <v>424</v>
      </c>
      <c r="M5" s="3" t="s">
        <v>425</v>
      </c>
      <c r="N5" s="3" t="s">
        <v>426</v>
      </c>
      <c r="O5" s="3" t="s">
        <v>427</v>
      </c>
      <c r="P5" s="3" t="s">
        <v>428</v>
      </c>
      <c r="Q5" s="3" t="s">
        <v>429</v>
      </c>
      <c r="R5" s="3" t="s">
        <v>430</v>
      </c>
      <c r="S5" s="3" t="s">
        <v>570</v>
      </c>
    </row>
    <row r="6" customFormat="false" ht="15" hidden="false" customHeight="false" outlineLevel="0" collapsed="false">
      <c r="A6" s="7" t="s">
        <v>571</v>
      </c>
      <c r="B6" s="17" t="s">
        <v>64</v>
      </c>
      <c r="D6" s="25" t="n">
        <v>2026</v>
      </c>
      <c r="E6" s="25" t="n">
        <v>2027</v>
      </c>
      <c r="F6" s="25" t="n">
        <v>2028</v>
      </c>
      <c r="G6" s="25" t="n">
        <v>2029</v>
      </c>
      <c r="H6" s="25" t="n">
        <v>2030</v>
      </c>
      <c r="I6" s="25" t="n">
        <v>2031</v>
      </c>
      <c r="J6" s="25" t="n">
        <v>2032</v>
      </c>
      <c r="K6" s="25" t="n">
        <v>2033</v>
      </c>
      <c r="L6" s="25" t="n">
        <v>2034</v>
      </c>
      <c r="M6" s="25" t="n">
        <v>2035</v>
      </c>
      <c r="N6" s="25" t="n">
        <v>2036</v>
      </c>
      <c r="O6" s="25" t="n">
        <v>2037</v>
      </c>
      <c r="P6" s="25" t="n">
        <v>2038</v>
      </c>
      <c r="Q6" s="25" t="n">
        <v>2039</v>
      </c>
      <c r="R6" s="25" t="n">
        <v>2040</v>
      </c>
      <c r="S6" s="0" t="n">
        <v>2041</v>
      </c>
    </row>
    <row r="7" customFormat="false" ht="15" hidden="false" customHeight="false" outlineLevel="0" collapsed="false">
      <c r="A7" s="7" t="s">
        <v>572</v>
      </c>
      <c r="B7" s="17" t="s">
        <v>127</v>
      </c>
      <c r="D7" s="34" t="n">
        <v>0.5</v>
      </c>
      <c r="E7" s="34" t="n">
        <v>1</v>
      </c>
      <c r="F7" s="34" t="n">
        <v>1</v>
      </c>
      <c r="G7" s="34" t="n">
        <v>1</v>
      </c>
      <c r="H7" s="34" t="n">
        <v>1</v>
      </c>
      <c r="I7" s="34" t="n">
        <v>1</v>
      </c>
      <c r="J7" s="34" t="n">
        <v>1</v>
      </c>
      <c r="K7" s="34" t="n">
        <v>1</v>
      </c>
      <c r="L7" s="34" t="n">
        <v>1</v>
      </c>
      <c r="M7" s="34" t="n">
        <v>1</v>
      </c>
      <c r="N7" s="34" t="n">
        <v>1</v>
      </c>
      <c r="O7" s="34" t="n">
        <v>1</v>
      </c>
      <c r="P7" s="34" t="n">
        <v>1</v>
      </c>
      <c r="Q7" s="34" t="n">
        <v>1</v>
      </c>
      <c r="R7" s="34" t="n">
        <v>1</v>
      </c>
    </row>
    <row r="8" customFormat="false" ht="15" hidden="false" customHeight="false" outlineLevel="0" collapsed="false">
      <c r="A8" s="7" t="s">
        <v>573</v>
      </c>
      <c r="B8" s="17" t="s">
        <v>127</v>
      </c>
      <c r="D8" s="34" t="n">
        <v>2026.5</v>
      </c>
      <c r="E8" s="34" t="n">
        <v>2027</v>
      </c>
      <c r="F8" s="34" t="n">
        <v>2028</v>
      </c>
      <c r="G8" s="34" t="n">
        <v>2029</v>
      </c>
      <c r="H8" s="34" t="n">
        <v>2030</v>
      </c>
      <c r="I8" s="34" t="n">
        <v>2031</v>
      </c>
      <c r="J8" s="34" t="n">
        <v>2032</v>
      </c>
      <c r="K8" s="34" t="n">
        <v>2033</v>
      </c>
      <c r="L8" s="34" t="n">
        <v>2034</v>
      </c>
      <c r="M8" s="34" t="n">
        <v>2035</v>
      </c>
      <c r="N8" s="34" t="n">
        <v>2036</v>
      </c>
      <c r="O8" s="34" t="n">
        <v>2037</v>
      </c>
      <c r="P8" s="34" t="n">
        <v>2038</v>
      </c>
      <c r="Q8" s="34" t="n">
        <v>2039</v>
      </c>
      <c r="R8" s="34" t="n">
        <v>2040</v>
      </c>
    </row>
    <row r="9" customFormat="false" ht="15" hidden="false" customHeight="false" outlineLevel="0" collapsed="false">
      <c r="A9" s="7" t="s">
        <v>574</v>
      </c>
      <c r="B9" s="17" t="s">
        <v>127</v>
      </c>
      <c r="D9" s="51" t="n">
        <f aca="false">D8+D7/2</f>
        <v>2026.75</v>
      </c>
      <c r="E9" s="51" t="n">
        <f aca="false">E8+E7/2</f>
        <v>2027.5</v>
      </c>
      <c r="F9" s="51" t="n">
        <f aca="false">F8+F7/2</f>
        <v>2028.5</v>
      </c>
      <c r="G9" s="51" t="n">
        <f aca="false">G8+G7/2</f>
        <v>2029.5</v>
      </c>
      <c r="H9" s="51" t="n">
        <f aca="false">H8+H7/2</f>
        <v>2030.5</v>
      </c>
      <c r="I9" s="51" t="n">
        <f aca="false">I8+I7/2</f>
        <v>2031.5</v>
      </c>
      <c r="J9" s="51" t="n">
        <f aca="false">J8+J7/2</f>
        <v>2032.5</v>
      </c>
      <c r="K9" s="51" t="n">
        <f aca="false">K8+K7/2</f>
        <v>2033.5</v>
      </c>
      <c r="L9" s="51" t="n">
        <f aca="false">L8+L7/2</f>
        <v>2034.5</v>
      </c>
      <c r="M9" s="51" t="n">
        <f aca="false">M8+M7/2</f>
        <v>2035.5</v>
      </c>
      <c r="N9" s="51" t="n">
        <f aca="false">N8+N7/2</f>
        <v>2036.5</v>
      </c>
      <c r="O9" s="51" t="n">
        <f aca="false">O8+O7/2</f>
        <v>2037.5</v>
      </c>
      <c r="P9" s="51" t="n">
        <f aca="false">P8+P7/2</f>
        <v>2038.5</v>
      </c>
      <c r="Q9" s="51" t="n">
        <f aca="false">Q8+Q7/2</f>
        <v>2039.5</v>
      </c>
      <c r="R9" s="51" t="n">
        <f aca="false">R8+R7/2</f>
        <v>2040.5</v>
      </c>
    </row>
    <row r="10" customFormat="false" ht="15" hidden="false" customHeight="false" outlineLevel="0" collapsed="false">
      <c r="A10" s="5" t="s">
        <v>575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customFormat="false" ht="15" hidden="false" customHeight="false" outlineLevel="0" collapsed="false">
      <c r="A11" s="7" t="s">
        <v>576</v>
      </c>
      <c r="B11" s="17" t="s">
        <v>134</v>
      </c>
      <c r="D11" s="52" t="n">
        <f aca="false">IF(D$6=2026,Inputs!$D$59,IF(D$6=2027,Inputs!$D$60,IF(D$6=2028,Inputs!$D$61,IF(D$6=2029,Inputs!$D$62,Inputs!$D$63))))</f>
        <v>15</v>
      </c>
      <c r="E11" s="52" t="n">
        <f aca="false">IF(E$6=2026,Inputs!$D$59,IF(E$6=2027,Inputs!$D$60,IF(E$6=2028,Inputs!$D$61,IF(E$6=2029,Inputs!$D$62,Inputs!$D$63))))</f>
        <v>30</v>
      </c>
      <c r="F11" s="52" t="n">
        <f aca="false">IF(F$6=2026,Inputs!$D$59,IF(F$6=2027,Inputs!$D$60,IF(F$6=2028,Inputs!$D$61,IF(F$6=2029,Inputs!$D$62,Inputs!$D$63))))</f>
        <v>45</v>
      </c>
      <c r="G11" s="52" t="n">
        <f aca="false">IF(G$6=2026,Inputs!$D$59,IF(G$6=2027,Inputs!$D$60,IF(G$6=2028,Inputs!$D$61,IF(G$6=2029,Inputs!$D$62,Inputs!$D$63))))</f>
        <v>45</v>
      </c>
      <c r="H11" s="52" t="n">
        <f aca="false">IF(H$6=2026,Inputs!$D$59,IF(H$6=2027,Inputs!$D$60,IF(H$6=2028,Inputs!$D$61,IF(H$6=2029,Inputs!$D$62,Inputs!$D$63))))</f>
        <v>45</v>
      </c>
      <c r="I11" s="52" t="n">
        <f aca="false">IF(I$6=2026,Inputs!$D$59,IF(I$6=2027,Inputs!$D$60,IF(I$6=2028,Inputs!$D$61,IF(I$6=2029,Inputs!$D$62,Inputs!$D$63))))</f>
        <v>45</v>
      </c>
      <c r="J11" s="52" t="n">
        <f aca="false">IF(J$6=2026,Inputs!$D$59,IF(J$6=2027,Inputs!$D$60,IF(J$6=2028,Inputs!$D$61,IF(J$6=2029,Inputs!$D$62,Inputs!$D$63))))</f>
        <v>45</v>
      </c>
      <c r="K11" s="52" t="n">
        <f aca="false">IF(K$6=2026,Inputs!$D$59,IF(K$6=2027,Inputs!$D$60,IF(K$6=2028,Inputs!$D$61,IF(K$6=2029,Inputs!$D$62,Inputs!$D$63))))</f>
        <v>45</v>
      </c>
      <c r="L11" s="52" t="n">
        <f aca="false">IF(L$6=2026,Inputs!$D$59,IF(L$6=2027,Inputs!$D$60,IF(L$6=2028,Inputs!$D$61,IF(L$6=2029,Inputs!$D$62,Inputs!$D$63))))</f>
        <v>45</v>
      </c>
      <c r="M11" s="52" t="n">
        <f aca="false">IF(M$6=2026,Inputs!$D$59,IF(M$6=2027,Inputs!$D$60,IF(M$6=2028,Inputs!$D$61,IF(M$6=2029,Inputs!$D$62,Inputs!$D$63))))</f>
        <v>45</v>
      </c>
      <c r="N11" s="52" t="n">
        <f aca="false">IF(N$6=2026,Inputs!$D$59,IF(N$6=2027,Inputs!$D$60,IF(N$6=2028,Inputs!$D$61,IF(N$6=2029,Inputs!$D$62,Inputs!$D$63))))</f>
        <v>45</v>
      </c>
      <c r="O11" s="52" t="n">
        <f aca="false">IF(O$6=2026,Inputs!$D$59,IF(O$6=2027,Inputs!$D$60,IF(O$6=2028,Inputs!$D$61,IF(O$6=2029,Inputs!$D$62,Inputs!$D$63))))</f>
        <v>45</v>
      </c>
      <c r="P11" s="52" t="n">
        <f aca="false">IF(P$6=2026,Inputs!$D$59,IF(P$6=2027,Inputs!$D$60,IF(P$6=2028,Inputs!$D$61,IF(P$6=2029,Inputs!$D$62,Inputs!$D$63))))</f>
        <v>45</v>
      </c>
      <c r="Q11" s="52" t="n">
        <f aca="false">IF(Q$6=2026,Inputs!$D$59,IF(Q$6=2027,Inputs!$D$60,IF(Q$6=2028,Inputs!$D$61,IF(Q$6=2029,Inputs!$D$62,Inputs!$D$63))))</f>
        <v>45</v>
      </c>
      <c r="R11" s="52" t="n">
        <f aca="false">IF(R$6=2026,Inputs!$D$59,IF(R$6=2027,Inputs!$D$60,IF(R$6=2028,Inputs!$D$61,IF(R$6=2029,Inputs!$D$62,Inputs!$D$63))))</f>
        <v>45</v>
      </c>
    </row>
    <row r="12" customFormat="false" ht="15" hidden="false" customHeight="false" outlineLevel="0" collapsed="false">
      <c r="A12" s="7" t="s">
        <v>577</v>
      </c>
      <c r="B12" s="17" t="s">
        <v>134</v>
      </c>
      <c r="D12" s="52" t="n">
        <f aca="false">Inputs!$D$28</f>
        <v>4</v>
      </c>
      <c r="E12" s="50" t="n">
        <f aca="false">D15</f>
        <v>15</v>
      </c>
      <c r="F12" s="50" t="n">
        <f aca="false">E15</f>
        <v>30</v>
      </c>
      <c r="G12" s="50" t="n">
        <f aca="false">F15</f>
        <v>45</v>
      </c>
      <c r="H12" s="50" t="n">
        <f aca="false">G15</f>
        <v>45</v>
      </c>
      <c r="I12" s="50" t="n">
        <f aca="false">H15</f>
        <v>45</v>
      </c>
      <c r="J12" s="50" t="n">
        <f aca="false">I15</f>
        <v>45</v>
      </c>
      <c r="K12" s="50" t="n">
        <f aca="false">J15</f>
        <v>45</v>
      </c>
      <c r="L12" s="50" t="n">
        <f aca="false">K15</f>
        <v>45</v>
      </c>
      <c r="M12" s="50" t="n">
        <f aca="false">L15</f>
        <v>45</v>
      </c>
      <c r="N12" s="50" t="n">
        <f aca="false">M15</f>
        <v>45</v>
      </c>
      <c r="O12" s="50" t="n">
        <f aca="false">N15</f>
        <v>45</v>
      </c>
      <c r="P12" s="50" t="n">
        <f aca="false">O15</f>
        <v>45</v>
      </c>
      <c r="Q12" s="50" t="n">
        <f aca="false">P15</f>
        <v>45</v>
      </c>
      <c r="R12" s="50" t="n">
        <f aca="false">Q15</f>
        <v>45</v>
      </c>
    </row>
    <row r="13" customFormat="false" ht="15" hidden="false" customHeight="false" outlineLevel="0" collapsed="false">
      <c r="A13" s="7" t="s">
        <v>578</v>
      </c>
      <c r="B13" s="17" t="s">
        <v>134</v>
      </c>
      <c r="D13" s="50" t="n">
        <f aca="false">0</f>
        <v>0</v>
      </c>
      <c r="E13" s="50" t="n">
        <f aca="false">IF(E$6-ROUND(Inputs!$D$26,0)=2026,$D$14+Inputs!$D$28,IF(E$6-ROUND(Inputs!$D$26,0)&gt;=2027,INDEX($D$14:D14,1,E$6-ROUND(Inputs!$D$26,0)-2026+1),0))</f>
        <v>0</v>
      </c>
      <c r="F13" s="50" t="n">
        <f aca="false">IF(F$6-ROUND(Inputs!$D$26,0)=2026,$D$14+Inputs!$D$28,IF(F$6-ROUND(Inputs!$D$26,0)&gt;=2027,INDEX($D$14:E14,1,F$6-ROUND(Inputs!$D$26,0)-2026+1),0))</f>
        <v>0</v>
      </c>
      <c r="G13" s="50" t="n">
        <f aca="false">IF(G$6-ROUND(Inputs!$D$26,0)=2026,$D$14+Inputs!$D$28,IF(G$6-ROUND(Inputs!$D$26,0)&gt;=2027,INDEX($D$14:F14,1,G$6-ROUND(Inputs!$D$26,0)-2026+1),0))</f>
        <v>0</v>
      </c>
      <c r="H13" s="50" t="n">
        <f aca="false">IF(H$6-ROUND(Inputs!$D$26,0)=2026,$D$14+Inputs!$D$28,IF(H$6-ROUND(Inputs!$D$26,0)&gt;=2027,INDEX($D$14:G14,1,H$6-ROUND(Inputs!$D$26,0)-2026+1),0))</f>
        <v>0</v>
      </c>
      <c r="I13" s="50" t="n">
        <f aca="false">IF(I$6-ROUND(Inputs!$D$26,0)=2026,$D$14+Inputs!$D$28,IF(I$6-ROUND(Inputs!$D$26,0)&gt;=2027,INDEX($D$14:H14,1,I$6-ROUND(Inputs!$D$26,0)-2026+1),0))</f>
        <v>0</v>
      </c>
      <c r="J13" s="50" t="n">
        <f aca="false">IF(J$6-ROUND(Inputs!$D$26,0)=2026,$D$14+Inputs!$D$28,IF(J$6-ROUND(Inputs!$D$26,0)&gt;=2027,INDEX($D$14:I14,1,J$6-ROUND(Inputs!$D$26,0)-2026+1),0))</f>
        <v>0</v>
      </c>
      <c r="K13" s="50" t="n">
        <f aca="false">IF(K$6-ROUND(Inputs!$D$26,0)=2026,$D$14+Inputs!$D$28,IF(K$6-ROUND(Inputs!$D$26,0)&gt;=2027,INDEX($D$14:J14,1,K$6-ROUND(Inputs!$D$26,0)-2026+1),0))</f>
        <v>15</v>
      </c>
      <c r="L13" s="50" t="n">
        <f aca="false">IF(L$6-ROUND(Inputs!$D$26,0)=2026,$D$14+Inputs!$D$28,IF(L$6-ROUND(Inputs!$D$26,0)&gt;=2027,INDEX($D$14:K14,1,L$6-ROUND(Inputs!$D$26,0)-2026+1),0))</f>
        <v>15</v>
      </c>
      <c r="M13" s="50" t="n">
        <f aca="false">IF(M$6-ROUND(Inputs!$D$26,0)=2026,$D$14+Inputs!$D$28,IF(M$6-ROUND(Inputs!$D$26,0)&gt;=2027,INDEX($D$14:L14,1,M$6-ROUND(Inputs!$D$26,0)-2026+1),0))</f>
        <v>15</v>
      </c>
      <c r="N13" s="50" t="n">
        <f aca="false">IF(N$6-ROUND(Inputs!$D$26,0)=2026,$D$14+Inputs!$D$28,IF(N$6-ROUND(Inputs!$D$26,0)&gt;=2027,INDEX($D$14:M14,1,N$6-ROUND(Inputs!$D$26,0)-2026+1),0))</f>
        <v>0</v>
      </c>
      <c r="O13" s="50" t="n">
        <f aca="false">IF(O$6-ROUND(Inputs!$D$26,0)=2026,$D$14+Inputs!$D$28,IF(O$6-ROUND(Inputs!$D$26,0)&gt;=2027,INDEX($D$14:N14,1,O$6-ROUND(Inputs!$D$26,0)-2026+1),0))</f>
        <v>0</v>
      </c>
      <c r="P13" s="50" t="n">
        <f aca="false">IF(P$6-ROUND(Inputs!$D$26,0)=2026,$D$14+Inputs!$D$28,IF(P$6-ROUND(Inputs!$D$26,0)&gt;=2027,INDEX($D$14:O14,1,P$6-ROUND(Inputs!$D$26,0)-2026+1),0))</f>
        <v>0</v>
      </c>
      <c r="Q13" s="50" t="n">
        <f aca="false">IF(Q$6-ROUND(Inputs!$D$26,0)=2026,$D$14+Inputs!$D$28,IF(Q$6-ROUND(Inputs!$D$26,0)&gt;=2027,INDEX($D$14:P14,1,Q$6-ROUND(Inputs!$D$26,0)-2026+1),0))</f>
        <v>0</v>
      </c>
      <c r="R13" s="50" t="n">
        <f aca="false">IF(R$6-ROUND(Inputs!$D$26,0)=2026,$D$14+Inputs!$D$28,IF(R$6-ROUND(Inputs!$D$26,0)&gt;=2027,INDEX($D$14:Q14,1,R$6-ROUND(Inputs!$D$26,0)-2026+1),0))</f>
        <v>15</v>
      </c>
    </row>
    <row r="14" customFormat="false" ht="15" hidden="false" customHeight="false" outlineLevel="0" collapsed="false">
      <c r="A14" s="7" t="s">
        <v>579</v>
      </c>
      <c r="B14" s="17" t="s">
        <v>134</v>
      </c>
      <c r="D14" s="50" t="n">
        <f aca="false">MAX(0,D11-D12+D13)</f>
        <v>11</v>
      </c>
      <c r="E14" s="50" t="n">
        <f aca="false">MAX(0,E11-E12+E13)</f>
        <v>15</v>
      </c>
      <c r="F14" s="50" t="n">
        <f aca="false">MAX(0,F11-F12+F13)</f>
        <v>15</v>
      </c>
      <c r="G14" s="50" t="n">
        <f aca="false">MAX(0,G11-G12+G13)</f>
        <v>0</v>
      </c>
      <c r="H14" s="50" t="n">
        <f aca="false">MAX(0,H11-H12+H13)</f>
        <v>0</v>
      </c>
      <c r="I14" s="50" t="n">
        <f aca="false">MAX(0,I11-I12+I13)</f>
        <v>0</v>
      </c>
      <c r="J14" s="50" t="n">
        <f aca="false">MAX(0,J11-J12+J13)</f>
        <v>0</v>
      </c>
      <c r="K14" s="50" t="n">
        <f aca="false">MAX(0,K11-K12+K13)</f>
        <v>15</v>
      </c>
      <c r="L14" s="50" t="n">
        <f aca="false">MAX(0,L11-L12+L13)</f>
        <v>15</v>
      </c>
      <c r="M14" s="50" t="n">
        <f aca="false">MAX(0,M11-M12+M13)</f>
        <v>15</v>
      </c>
      <c r="N14" s="50" t="n">
        <f aca="false">MAX(0,N11-N12+N13)</f>
        <v>0</v>
      </c>
      <c r="O14" s="50" t="n">
        <f aca="false">MAX(0,O11-O12+O13)</f>
        <v>0</v>
      </c>
      <c r="P14" s="50" t="n">
        <f aca="false">MAX(0,P11-P12+P13)</f>
        <v>0</v>
      </c>
      <c r="Q14" s="50" t="n">
        <f aca="false">MAX(0,Q11-Q12+Q13)</f>
        <v>0</v>
      </c>
      <c r="R14" s="50" t="n">
        <f aca="false">MAX(0,R11-R12+R13)</f>
        <v>15</v>
      </c>
    </row>
    <row r="15" customFormat="false" ht="15" hidden="false" customHeight="false" outlineLevel="0" collapsed="false">
      <c r="A15" s="3" t="s">
        <v>580</v>
      </c>
      <c r="B15" s="17" t="s">
        <v>134</v>
      </c>
      <c r="D15" s="53" t="n">
        <f aca="false">D12-D13+D14</f>
        <v>15</v>
      </c>
      <c r="E15" s="53" t="n">
        <f aca="false">E12-E13+E14</f>
        <v>30</v>
      </c>
      <c r="F15" s="53" t="n">
        <f aca="false">F12-F13+F14</f>
        <v>45</v>
      </c>
      <c r="G15" s="53" t="n">
        <f aca="false">G12-G13+G14</f>
        <v>45</v>
      </c>
      <c r="H15" s="53" t="n">
        <f aca="false">H12-H13+H14</f>
        <v>45</v>
      </c>
      <c r="I15" s="53" t="n">
        <f aca="false">I12-I13+I14</f>
        <v>45</v>
      </c>
      <c r="J15" s="53" t="n">
        <f aca="false">J12-J13+J14</f>
        <v>45</v>
      </c>
      <c r="K15" s="53" t="n">
        <f aca="false">K12-K13+K14</f>
        <v>45</v>
      </c>
      <c r="L15" s="53" t="n">
        <f aca="false">L12-L13+L14</f>
        <v>45</v>
      </c>
      <c r="M15" s="53" t="n">
        <f aca="false">M12-M13+M14</f>
        <v>45</v>
      </c>
      <c r="N15" s="53" t="n">
        <f aca="false">N12-N13+N14</f>
        <v>45</v>
      </c>
      <c r="O15" s="53" t="n">
        <f aca="false">O12-O13+O14</f>
        <v>45</v>
      </c>
      <c r="P15" s="53" t="n">
        <f aca="false">P12-P13+P14</f>
        <v>45</v>
      </c>
      <c r="Q15" s="53" t="n">
        <f aca="false">Q12-Q13+Q14</f>
        <v>45</v>
      </c>
      <c r="R15" s="53" t="n">
        <f aca="false">R12-R13+R14</f>
        <v>45</v>
      </c>
    </row>
    <row r="16" customFormat="false" ht="15" hidden="false" customHeight="false" outlineLevel="0" collapsed="false">
      <c r="A16" s="7" t="s">
        <v>581</v>
      </c>
      <c r="B16" s="17" t="s">
        <v>134</v>
      </c>
      <c r="D16" s="42" t="n">
        <f aca="false">D14/(1-Inputs!$D$27)</f>
        <v>11.5789473684211</v>
      </c>
      <c r="E16" s="42" t="n">
        <f aca="false">E14/(1-Inputs!$D$27)</f>
        <v>15.7894736842105</v>
      </c>
      <c r="F16" s="42" t="n">
        <f aca="false">F14/(1-Inputs!$D$27)</f>
        <v>15.7894736842105</v>
      </c>
      <c r="G16" s="42" t="n">
        <f aca="false">G14/(1-Inputs!$D$27)</f>
        <v>0</v>
      </c>
      <c r="H16" s="42" t="n">
        <f aca="false">H14/(1-Inputs!$D$27)</f>
        <v>0</v>
      </c>
      <c r="I16" s="42" t="n">
        <f aca="false">I14/(1-Inputs!$D$27)</f>
        <v>0</v>
      </c>
      <c r="J16" s="42" t="n">
        <f aca="false">J14/(1-Inputs!$D$27)</f>
        <v>0</v>
      </c>
      <c r="K16" s="42" t="n">
        <f aca="false">K14/(1-Inputs!$D$27)</f>
        <v>15.7894736842105</v>
      </c>
      <c r="L16" s="42" t="n">
        <f aca="false">L14/(1-Inputs!$D$27)</f>
        <v>15.7894736842105</v>
      </c>
      <c r="M16" s="42" t="n">
        <f aca="false">M14/(1-Inputs!$D$27)</f>
        <v>15.7894736842105</v>
      </c>
      <c r="N16" s="42" t="n">
        <f aca="false">N14/(1-Inputs!$D$27)</f>
        <v>0</v>
      </c>
      <c r="O16" s="42" t="n">
        <f aca="false">O14/(1-Inputs!$D$27)</f>
        <v>0</v>
      </c>
      <c r="P16" s="42" t="n">
        <f aca="false">P14/(1-Inputs!$D$27)</f>
        <v>0</v>
      </c>
      <c r="Q16" s="42" t="n">
        <f aca="false">Q14/(1-Inputs!$D$27)</f>
        <v>0</v>
      </c>
      <c r="R16" s="42" t="n">
        <f aca="false">R14/(1-Inputs!$D$27)</f>
        <v>15.7894736842105</v>
      </c>
    </row>
    <row r="17" customFormat="false" ht="15" hidden="false" customHeight="false" outlineLevel="0" collapsed="false">
      <c r="A17" s="7" t="s">
        <v>582</v>
      </c>
      <c r="B17" s="17" t="s">
        <v>134</v>
      </c>
      <c r="D17" s="42" t="n">
        <f aca="false">(D12+D15)/2</f>
        <v>9.5</v>
      </c>
      <c r="E17" s="42" t="n">
        <f aca="false">(E12+E15)/2</f>
        <v>22.5</v>
      </c>
      <c r="F17" s="42" t="n">
        <f aca="false">(F12+F15)/2</f>
        <v>37.5</v>
      </c>
      <c r="G17" s="42" t="n">
        <f aca="false">(G12+G15)/2</f>
        <v>45</v>
      </c>
      <c r="H17" s="42" t="n">
        <f aca="false">(H12+H15)/2</f>
        <v>45</v>
      </c>
      <c r="I17" s="42" t="n">
        <f aca="false">(I12+I15)/2</f>
        <v>45</v>
      </c>
      <c r="J17" s="42" t="n">
        <f aca="false">(J12+J15)/2</f>
        <v>45</v>
      </c>
      <c r="K17" s="42" t="n">
        <f aca="false">(K12+K15)/2</f>
        <v>45</v>
      </c>
      <c r="L17" s="42" t="n">
        <f aca="false">(L12+L15)/2</f>
        <v>45</v>
      </c>
      <c r="M17" s="42" t="n">
        <f aca="false">(M12+M15)/2</f>
        <v>45</v>
      </c>
      <c r="N17" s="42" t="n">
        <f aca="false">(N12+N15)/2</f>
        <v>45</v>
      </c>
      <c r="O17" s="42" t="n">
        <f aca="false">(O12+O15)/2</f>
        <v>45</v>
      </c>
      <c r="P17" s="42" t="n">
        <f aca="false">(P12+P15)/2</f>
        <v>45</v>
      </c>
      <c r="Q17" s="42" t="n">
        <f aca="false">(Q12+Q15)/2</f>
        <v>45</v>
      </c>
      <c r="R17" s="42" t="n">
        <f aca="false">(R12+R15)/2</f>
        <v>45</v>
      </c>
    </row>
    <row r="18" customFormat="false" ht="15" hidden="false" customHeight="false" outlineLevel="0" collapsed="false">
      <c r="A18" s="7" t="s">
        <v>583</v>
      </c>
      <c r="B18" s="17" t="s">
        <v>116</v>
      </c>
      <c r="D18" s="42" t="n">
        <f aca="false">Inputs!$D$64*(1+Inputs!$D$65)^MAX(0,D$6-2028)</f>
        <v>25</v>
      </c>
      <c r="E18" s="42" t="n">
        <f aca="false">Inputs!$D$64*(1+Inputs!$D$65)^MAX(0,E$6-2028)</f>
        <v>25</v>
      </c>
      <c r="F18" s="42" t="n">
        <f aca="false">Inputs!$D$64*(1+Inputs!$D$65)^MAX(0,F$6-2028)</f>
        <v>25</v>
      </c>
      <c r="G18" s="42" t="n">
        <f aca="false">Inputs!$D$64*(1+Inputs!$D$65)^MAX(0,G$6-2028)</f>
        <v>25.625</v>
      </c>
      <c r="H18" s="42" t="n">
        <f aca="false">Inputs!$D$64*(1+Inputs!$D$65)^MAX(0,H$6-2028)</f>
        <v>26.265625</v>
      </c>
      <c r="I18" s="42" t="n">
        <f aca="false">Inputs!$D$64*(1+Inputs!$D$65)^MAX(0,I$6-2028)</f>
        <v>26.922265625</v>
      </c>
      <c r="J18" s="42" t="n">
        <f aca="false">Inputs!$D$64*(1+Inputs!$D$65)^MAX(0,J$6-2028)</f>
        <v>27.595322265625</v>
      </c>
      <c r="K18" s="42" t="n">
        <f aca="false">Inputs!$D$64*(1+Inputs!$D$65)^MAX(0,K$6-2028)</f>
        <v>28.2852053222656</v>
      </c>
      <c r="L18" s="42" t="n">
        <f aca="false">Inputs!$D$64*(1+Inputs!$D$65)^MAX(0,L$6-2028)</f>
        <v>28.9923354553222</v>
      </c>
      <c r="M18" s="42" t="n">
        <f aca="false">Inputs!$D$64*(1+Inputs!$D$65)^MAX(0,M$6-2028)</f>
        <v>29.7171438417053</v>
      </c>
      <c r="N18" s="42" t="n">
        <f aca="false">Inputs!$D$64*(1+Inputs!$D$65)^MAX(0,N$6-2028)</f>
        <v>30.4600724377479</v>
      </c>
      <c r="O18" s="42" t="n">
        <f aca="false">Inputs!$D$64*(1+Inputs!$D$65)^MAX(0,O$6-2028)</f>
        <v>31.2215742486916</v>
      </c>
      <c r="P18" s="42" t="n">
        <f aca="false">Inputs!$D$64*(1+Inputs!$D$65)^MAX(0,P$6-2028)</f>
        <v>32.0021136049089</v>
      </c>
      <c r="Q18" s="42" t="n">
        <f aca="false">Inputs!$D$64*(1+Inputs!$D$65)^MAX(0,Q$6-2028)</f>
        <v>32.8021664450316</v>
      </c>
      <c r="R18" s="42" t="n">
        <f aca="false">Inputs!$D$64*(1+Inputs!$D$65)^MAX(0,R$6-2028)</f>
        <v>33.6222206061574</v>
      </c>
    </row>
    <row r="19" customFormat="false" ht="15" hidden="false" customHeight="false" outlineLevel="0" collapsed="false">
      <c r="A19" s="7" t="s">
        <v>584</v>
      </c>
      <c r="B19" s="17" t="s">
        <v>116</v>
      </c>
      <c r="D19" s="42" t="n">
        <f aca="false">D16*D18</f>
        <v>289.473684210526</v>
      </c>
      <c r="E19" s="42" t="n">
        <f aca="false">E16*E18</f>
        <v>394.736842105263</v>
      </c>
      <c r="F19" s="42" t="n">
        <f aca="false">F16*F18</f>
        <v>394.736842105263</v>
      </c>
      <c r="G19" s="42" t="n">
        <f aca="false">G16*G18</f>
        <v>0</v>
      </c>
      <c r="H19" s="42" t="n">
        <f aca="false">H16*H18</f>
        <v>0</v>
      </c>
      <c r="I19" s="42" t="n">
        <f aca="false">I16*I18</f>
        <v>0</v>
      </c>
      <c r="J19" s="42" t="n">
        <f aca="false">J16*J18</f>
        <v>0</v>
      </c>
      <c r="K19" s="42" t="n">
        <f aca="false">K16*K18</f>
        <v>446.608505088404</v>
      </c>
      <c r="L19" s="42" t="n">
        <f aca="false">L16*L18</f>
        <v>457.773717715614</v>
      </c>
      <c r="M19" s="42" t="n">
        <f aca="false">M16*M18</f>
        <v>469.218060658505</v>
      </c>
      <c r="N19" s="42" t="n">
        <f aca="false">N16*N18</f>
        <v>0</v>
      </c>
      <c r="O19" s="42" t="n">
        <f aca="false">O16*O18</f>
        <v>0</v>
      </c>
      <c r="P19" s="42" t="n">
        <f aca="false">P16*P18</f>
        <v>0</v>
      </c>
      <c r="Q19" s="42" t="n">
        <f aca="false">Q16*Q18</f>
        <v>0</v>
      </c>
      <c r="R19" s="42" t="n">
        <f aca="false">R16*R18</f>
        <v>530.877167465644</v>
      </c>
    </row>
    <row r="20" customFormat="false" ht="15" hidden="false" customHeight="false" outlineLevel="0" collapsed="false">
      <c r="A20" s="7" t="s">
        <v>585</v>
      </c>
      <c r="C20" s="54" t="n">
        <f aca="false">Inputs!$D$29*Inputs!$D$66</f>
        <v>689.634</v>
      </c>
    </row>
    <row r="21" customFormat="false" ht="15" hidden="false" customHeight="false" outlineLevel="0" collapsed="false">
      <c r="A21" s="7" t="s">
        <v>586</v>
      </c>
      <c r="B21" s="17" t="s">
        <v>116</v>
      </c>
      <c r="D21" s="42" t="n">
        <f aca="false">MIN(D19,$C$20)</f>
        <v>289.473684210526</v>
      </c>
      <c r="E21" s="42" t="n">
        <f aca="false">MIN(E19,$C$20-SUM($D$21:D21))</f>
        <v>394.736842105263</v>
      </c>
      <c r="F21" s="42" t="n">
        <f aca="false">MIN(F19,$C$20-SUM($D$21:E21))</f>
        <v>5.42347368421054</v>
      </c>
      <c r="G21" s="42" t="n">
        <f aca="false">MIN(G19,$C$20-SUM($D$21:F21))</f>
        <v>0</v>
      </c>
      <c r="H21" s="42" t="n">
        <f aca="false">MIN(H19,$C$20-SUM($D$21:G21))</f>
        <v>0</v>
      </c>
      <c r="I21" s="42" t="n">
        <f aca="false">MIN(I19,$C$20-SUM($D$21:H21))</f>
        <v>0</v>
      </c>
      <c r="J21" s="42" t="n">
        <f aca="false">MIN(J19,$C$20-SUM($D$21:I21))</f>
        <v>0</v>
      </c>
      <c r="K21" s="42" t="n">
        <f aca="false">MIN(K19,$C$20-SUM($D$21:J21))</f>
        <v>0</v>
      </c>
      <c r="L21" s="42" t="n">
        <f aca="false">MIN(L19,$C$20-SUM($D$21:K21))</f>
        <v>0</v>
      </c>
      <c r="M21" s="42" t="n">
        <f aca="false">MIN(M19,$C$20-SUM($D$21:L21))</f>
        <v>0</v>
      </c>
      <c r="N21" s="42" t="n">
        <f aca="false">MIN(N19,$C$20-SUM($D$21:M21))</f>
        <v>0</v>
      </c>
      <c r="O21" s="42" t="n">
        <f aca="false">MIN(O19,$C$20-SUM($D$21:N21))</f>
        <v>0</v>
      </c>
      <c r="P21" s="42" t="n">
        <f aca="false">MIN(P19,$C$20-SUM($D$21:O21))</f>
        <v>0</v>
      </c>
      <c r="Q21" s="42" t="n">
        <f aca="false">MIN(Q19,$C$20-SUM($D$21:P21))</f>
        <v>0</v>
      </c>
      <c r="R21" s="42" t="n">
        <f aca="false">MIN(R19,$C$20-SUM($D$21:Q21))</f>
        <v>0</v>
      </c>
    </row>
    <row r="22" customFormat="false" ht="15" hidden="false" customHeight="false" outlineLevel="0" collapsed="false">
      <c r="A22" s="3" t="s">
        <v>587</v>
      </c>
      <c r="B22" s="17" t="s">
        <v>116</v>
      </c>
      <c r="D22" s="55" t="n">
        <f aca="false">D19-D21</f>
        <v>0</v>
      </c>
      <c r="E22" s="55" t="n">
        <f aca="false">E19-E21</f>
        <v>0</v>
      </c>
      <c r="F22" s="55" t="n">
        <f aca="false">F19-F21</f>
        <v>389.313368421053</v>
      </c>
      <c r="G22" s="55" t="n">
        <f aca="false">G19-G21</f>
        <v>0</v>
      </c>
      <c r="H22" s="55" t="n">
        <f aca="false">H19-H21</f>
        <v>0</v>
      </c>
      <c r="I22" s="55" t="n">
        <f aca="false">I19-I21</f>
        <v>0</v>
      </c>
      <c r="J22" s="55" t="n">
        <f aca="false">J19-J21</f>
        <v>0</v>
      </c>
      <c r="K22" s="55" t="n">
        <f aca="false">K19-K21</f>
        <v>446.608505088404</v>
      </c>
      <c r="L22" s="55" t="n">
        <f aca="false">L19-L21</f>
        <v>457.773717715614</v>
      </c>
      <c r="M22" s="55" t="n">
        <f aca="false">M19-M21</f>
        <v>469.218060658505</v>
      </c>
      <c r="N22" s="55" t="n">
        <f aca="false">N19-N21</f>
        <v>0</v>
      </c>
      <c r="O22" s="55" t="n">
        <f aca="false">O19-O21</f>
        <v>0</v>
      </c>
      <c r="P22" s="55" t="n">
        <f aca="false">P19-P21</f>
        <v>0</v>
      </c>
      <c r="Q22" s="55" t="n">
        <f aca="false">Q19-Q21</f>
        <v>0</v>
      </c>
      <c r="R22" s="55" t="n">
        <f aca="false">R19-R21</f>
        <v>530.877167465644</v>
      </c>
    </row>
    <row r="23" customFormat="false" ht="15" hidden="false" customHeight="false" outlineLevel="0" collapsed="false">
      <c r="A23" s="5" t="s">
        <v>588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customFormat="false" ht="15" hidden="false" customHeight="false" outlineLevel="0" collapsed="false">
      <c r="A24" s="7" t="s">
        <v>589</v>
      </c>
      <c r="B24" s="17" t="s">
        <v>68</v>
      </c>
      <c r="D24" s="41" t="n">
        <f aca="false">MIN(1,MAX(0,(D17-Inputs!$D$32)/(Inputs!$D$33-Inputs!$D$32)))</f>
        <v>0</v>
      </c>
      <c r="E24" s="41" t="n">
        <f aca="false">MIN(1,MAX(0,(E17-Inputs!$D$32)/(Inputs!$D$33-Inputs!$D$32)))</f>
        <v>0.0625</v>
      </c>
      <c r="F24" s="41" t="n">
        <f aca="false">MIN(1,MAX(0,(F17-Inputs!$D$32)/(Inputs!$D$33-Inputs!$D$32)))</f>
        <v>0.4375</v>
      </c>
      <c r="G24" s="41" t="n">
        <f aca="false">MIN(1,MAX(0,(G17-Inputs!$D$32)/(Inputs!$D$33-Inputs!$D$32)))</f>
        <v>0.625</v>
      </c>
      <c r="H24" s="41" t="n">
        <f aca="false">MIN(1,MAX(0,(H17-Inputs!$D$32)/(Inputs!$D$33-Inputs!$D$32)))</f>
        <v>0.625</v>
      </c>
      <c r="I24" s="41" t="n">
        <f aca="false">MIN(1,MAX(0,(I17-Inputs!$D$32)/(Inputs!$D$33-Inputs!$D$32)))</f>
        <v>0.625</v>
      </c>
      <c r="J24" s="41" t="n">
        <f aca="false">MIN(1,MAX(0,(J17-Inputs!$D$32)/(Inputs!$D$33-Inputs!$D$32)))</f>
        <v>0.625</v>
      </c>
      <c r="K24" s="41" t="n">
        <f aca="false">MIN(1,MAX(0,(K17-Inputs!$D$32)/(Inputs!$D$33-Inputs!$D$32)))</f>
        <v>0.625</v>
      </c>
      <c r="L24" s="41" t="n">
        <f aca="false">MIN(1,MAX(0,(L17-Inputs!$D$32)/(Inputs!$D$33-Inputs!$D$32)))</f>
        <v>0.625</v>
      </c>
      <c r="M24" s="41" t="n">
        <f aca="false">MIN(1,MAX(0,(M17-Inputs!$D$32)/(Inputs!$D$33-Inputs!$D$32)))</f>
        <v>0.625</v>
      </c>
      <c r="N24" s="41" t="n">
        <f aca="false">MIN(1,MAX(0,(N17-Inputs!$D$32)/(Inputs!$D$33-Inputs!$D$32)))</f>
        <v>0.625</v>
      </c>
      <c r="O24" s="41" t="n">
        <f aca="false">MIN(1,MAX(0,(O17-Inputs!$D$32)/(Inputs!$D$33-Inputs!$D$32)))</f>
        <v>0.625</v>
      </c>
      <c r="P24" s="41" t="n">
        <f aca="false">MIN(1,MAX(0,(P17-Inputs!$D$32)/(Inputs!$D$33-Inputs!$D$32)))</f>
        <v>0.625</v>
      </c>
      <c r="Q24" s="41" t="n">
        <f aca="false">MIN(1,MAX(0,(Q17-Inputs!$D$32)/(Inputs!$D$33-Inputs!$D$32)))</f>
        <v>0.625</v>
      </c>
      <c r="R24" s="41" t="n">
        <f aca="false">MIN(1,MAX(0,(R17-Inputs!$D$32)/(Inputs!$D$33-Inputs!$D$32)))</f>
        <v>0.625</v>
      </c>
    </row>
    <row r="25" customFormat="false" ht="15" hidden="false" customHeight="false" outlineLevel="0" collapsed="false">
      <c r="A25" s="7" t="s">
        <v>590</v>
      </c>
      <c r="B25" s="17" t="s">
        <v>68</v>
      </c>
      <c r="D25" s="41" t="n">
        <f aca="false">MIN(1,MAX(0,(D17-Inputs!$D$34)/(Inputs!$D$35-Inputs!$D$34)))</f>
        <v>0</v>
      </c>
      <c r="E25" s="41" t="n">
        <f aca="false">MIN(1,MAX(0,(E17-Inputs!$D$34)/(Inputs!$D$35-Inputs!$D$34)))</f>
        <v>0</v>
      </c>
      <c r="F25" s="41" t="n">
        <f aca="false">MIN(1,MAX(0,(F17-Inputs!$D$34)/(Inputs!$D$35-Inputs!$D$34)))</f>
        <v>0</v>
      </c>
      <c r="G25" s="41" t="n">
        <f aca="false">MIN(1,MAX(0,(G17-Inputs!$D$34)/(Inputs!$D$35-Inputs!$D$34)))</f>
        <v>0</v>
      </c>
      <c r="H25" s="41" t="n">
        <f aca="false">MIN(1,MAX(0,(H17-Inputs!$D$34)/(Inputs!$D$35-Inputs!$D$34)))</f>
        <v>0</v>
      </c>
      <c r="I25" s="41" t="n">
        <f aca="false">MIN(1,MAX(0,(I17-Inputs!$D$34)/(Inputs!$D$35-Inputs!$D$34)))</f>
        <v>0</v>
      </c>
      <c r="J25" s="41" t="n">
        <f aca="false">MIN(1,MAX(0,(J17-Inputs!$D$34)/(Inputs!$D$35-Inputs!$D$34)))</f>
        <v>0</v>
      </c>
      <c r="K25" s="41" t="n">
        <f aca="false">MIN(1,MAX(0,(K17-Inputs!$D$34)/(Inputs!$D$35-Inputs!$D$34)))</f>
        <v>0</v>
      </c>
      <c r="L25" s="41" t="n">
        <f aca="false">MIN(1,MAX(0,(L17-Inputs!$D$34)/(Inputs!$D$35-Inputs!$D$34)))</f>
        <v>0</v>
      </c>
      <c r="M25" s="41" t="n">
        <f aca="false">MIN(1,MAX(0,(M17-Inputs!$D$34)/(Inputs!$D$35-Inputs!$D$34)))</f>
        <v>0</v>
      </c>
      <c r="N25" s="41" t="n">
        <f aca="false">MIN(1,MAX(0,(N17-Inputs!$D$34)/(Inputs!$D$35-Inputs!$D$34)))</f>
        <v>0</v>
      </c>
      <c r="O25" s="41" t="n">
        <f aca="false">MIN(1,MAX(0,(O17-Inputs!$D$34)/(Inputs!$D$35-Inputs!$D$34)))</f>
        <v>0</v>
      </c>
      <c r="P25" s="41" t="n">
        <f aca="false">MIN(1,MAX(0,(P17-Inputs!$D$34)/(Inputs!$D$35-Inputs!$D$34)))</f>
        <v>0</v>
      </c>
      <c r="Q25" s="41" t="n">
        <f aca="false">MIN(1,MAX(0,(Q17-Inputs!$D$34)/(Inputs!$D$35-Inputs!$D$34)))</f>
        <v>0</v>
      </c>
      <c r="R25" s="41" t="n">
        <f aca="false">MIN(1,MAX(0,(R17-Inputs!$D$34)/(Inputs!$D$35-Inputs!$D$34)))</f>
        <v>0</v>
      </c>
    </row>
    <row r="26" customFormat="false" ht="15" hidden="false" customHeight="false" outlineLevel="0" collapsed="false">
      <c r="A26" s="7" t="s">
        <v>591</v>
      </c>
      <c r="C26" s="56" t="n">
        <f aca="false">2*LN(19)/Inputs!$D$72</f>
        <v>0.73610974479161</v>
      </c>
    </row>
    <row r="27" customFormat="false" ht="15" hidden="false" customHeight="false" outlineLevel="0" collapsed="false">
      <c r="A27" s="7" t="s">
        <v>592</v>
      </c>
      <c r="B27" s="17" t="s">
        <v>68</v>
      </c>
      <c r="D27" s="48" t="n">
        <f aca="false">IF(D9&gt;=Inputs!$D$68,Inputs!$D$70/(1+EXP(-$C$26*(D9-(Inputs!$D$68+Inputs!$D$72/2)))),0)</f>
        <v>0</v>
      </c>
      <c r="E27" s="48" t="n">
        <f aca="false">IF(E9&gt;=Inputs!$D$68,Inputs!$D$70/(1+EXP(-$C$26*(E9-(Inputs!$D$68+Inputs!$D$72/2)))),0)</f>
        <v>0</v>
      </c>
      <c r="F27" s="48" t="n">
        <f aca="false">IF(F9&gt;=Inputs!$D$68,Inputs!$D$70/(1+EXP(-$C$26*(F9-(Inputs!$D$68+Inputs!$D$72/2)))),0)</f>
        <v>0</v>
      </c>
      <c r="G27" s="48" t="n">
        <f aca="false">IF(G9&gt;=Inputs!$D$68,Inputs!$D$70/(1+EXP(-$C$26*(G9-(Inputs!$D$68+Inputs!$D$72/2)))),0)</f>
        <v>0.00212021552970408</v>
      </c>
      <c r="H27" s="48" t="n">
        <f aca="false">IF(H9&gt;=Inputs!$D$68,Inputs!$D$70/(1+EXP(-$C$26*(H9-(Inputs!$D$68+Inputs!$D$72/2)))),0)</f>
        <v>0.00411056542497894</v>
      </c>
      <c r="I27" s="48" t="n">
        <f aca="false">IF(I9&gt;=Inputs!$D$68,Inputs!$D$70/(1+EXP(-$C$26*(I9-(Inputs!$D$68+Inputs!$D$72/2)))),0)</f>
        <v>0.00746881152436866</v>
      </c>
      <c r="J27" s="48" t="n">
        <f aca="false">IF(J9&gt;=Inputs!$D$68,Inputs!$D$70/(1+EXP(-$C$26*(J9-(Inputs!$D$68+Inputs!$D$72/2)))),0)</f>
        <v>0.0122703334936126</v>
      </c>
      <c r="K27" s="48" t="n">
        <f aca="false">IF(K9&gt;=Inputs!$D$68,Inputs!$D$70/(1+EXP(-$C$26*(K9-(Inputs!$D$68+Inputs!$D$72/2)))),0)</f>
        <v>0.0177296665063874</v>
      </c>
      <c r="L27" s="48" t="n">
        <f aca="false">IF(L9&gt;=Inputs!$D$68,Inputs!$D$70/(1+EXP(-$C$26*(L9-(Inputs!$D$68+Inputs!$D$72/2)))),0)</f>
        <v>0.0225311884756313</v>
      </c>
      <c r="M27" s="48" t="n">
        <f aca="false">IF(M9&gt;=Inputs!$D$68,Inputs!$D$70/(1+EXP(-$C$26*(M9-(Inputs!$D$68+Inputs!$D$72/2)))),0)</f>
        <v>0.0258894345750211</v>
      </c>
      <c r="N27" s="48" t="n">
        <f aca="false">IF(N9&gt;=Inputs!$D$68,Inputs!$D$70/(1+EXP(-$C$26*(N9-(Inputs!$D$68+Inputs!$D$72/2)))),0)</f>
        <v>0.0278797844702959</v>
      </c>
      <c r="O27" s="48" t="n">
        <f aca="false">IF(O9&gt;=Inputs!$D$68,Inputs!$D$70/(1+EXP(-$C$26*(O9-(Inputs!$D$68+Inputs!$D$72/2)))),0)</f>
        <v>0.0289456483532105</v>
      </c>
      <c r="P27" s="48" t="n">
        <f aca="false">IF(P9&gt;=Inputs!$D$68,Inputs!$D$70/(1+EXP(-$C$26*(P9-(Inputs!$D$68+Inputs!$D$72/2)))),0)</f>
        <v>0.0294855734471473</v>
      </c>
      <c r="Q27" s="48" t="n">
        <f aca="false">IF(Q9&gt;=Inputs!$D$68,Inputs!$D$70/(1+EXP(-$C$26*(Q9-(Inputs!$D$68+Inputs!$D$72/2)))),0)</f>
        <v>0.0297513820146443</v>
      </c>
      <c r="R27" s="48" t="n">
        <f aca="false">IF(R9&gt;=Inputs!$D$68,Inputs!$D$70/(1+EXP(-$C$26*(R9-(Inputs!$D$68+Inputs!$D$72/2)))),0)</f>
        <v>0.0298804021324549</v>
      </c>
    </row>
    <row r="28" customFormat="false" ht="15" hidden="false" customHeight="false" outlineLevel="0" collapsed="false">
      <c r="A28" s="7" t="s">
        <v>593</v>
      </c>
      <c r="B28" s="17" t="s">
        <v>68</v>
      </c>
      <c r="D28" s="48" t="n">
        <f aca="false">IF(D9&gt;=Inputs!$D$69,Inputs!$D$71/(1+EXP(-$C$26*(D9-(Inputs!$D$69+Inputs!$D$72/2)))),0)</f>
        <v>0</v>
      </c>
      <c r="E28" s="48" t="n">
        <f aca="false">IF(E9&gt;=Inputs!$D$69,Inputs!$D$71/(1+EXP(-$C$26*(E9-(Inputs!$D$69+Inputs!$D$72/2)))),0)</f>
        <v>0</v>
      </c>
      <c r="F28" s="48" t="n">
        <f aca="false">IF(F9&gt;=Inputs!$D$69,Inputs!$D$71/(1+EXP(-$C$26*(F9-(Inputs!$D$69+Inputs!$D$72/2)))),0)</f>
        <v>0</v>
      </c>
      <c r="G28" s="48" t="n">
        <f aca="false">IF(G9&gt;=Inputs!$D$69,Inputs!$D$71/(1+EXP(-$C$26*(G9-(Inputs!$D$69+Inputs!$D$72/2)))),0)</f>
        <v>0</v>
      </c>
      <c r="H28" s="48" t="n">
        <f aca="false">IF(H9&gt;=Inputs!$D$69,Inputs!$D$71/(1+EXP(-$C$26*(H9-(Inputs!$D$69+Inputs!$D$72/2)))),0)</f>
        <v>0</v>
      </c>
      <c r="I28" s="48" t="n">
        <f aca="false">IF(I9&gt;=Inputs!$D$69,Inputs!$D$71/(1+EXP(-$C$26*(I9-(Inputs!$D$69+Inputs!$D$72/2)))),0)</f>
        <v>0.00035336925495068</v>
      </c>
      <c r="J28" s="48" t="n">
        <f aca="false">IF(J9&gt;=Inputs!$D$69,Inputs!$D$71/(1+EXP(-$C$26*(J9-(Inputs!$D$69+Inputs!$D$72/2)))),0)</f>
        <v>0.000685094237496489</v>
      </c>
      <c r="K28" s="48" t="n">
        <f aca="false">IF(K9&gt;=Inputs!$D$69,Inputs!$D$71/(1+EXP(-$C$26*(K9-(Inputs!$D$69+Inputs!$D$72/2)))),0)</f>
        <v>0.00124480192072811</v>
      </c>
      <c r="L28" s="48" t="n">
        <f aca="false">IF(L9&gt;=Inputs!$D$69,Inputs!$D$71/(1+EXP(-$C$26*(L9-(Inputs!$D$69+Inputs!$D$72/2)))),0)</f>
        <v>0.00204505558226877</v>
      </c>
      <c r="M28" s="48" t="n">
        <f aca="false">IF(M9&gt;=Inputs!$D$69,Inputs!$D$71/(1+EXP(-$C$26*(M9-(Inputs!$D$69+Inputs!$D$72/2)))),0)</f>
        <v>0.00295494441773123</v>
      </c>
      <c r="N28" s="48" t="n">
        <f aca="false">IF(N9&gt;=Inputs!$D$69,Inputs!$D$71/(1+EXP(-$C$26*(N9-(Inputs!$D$69+Inputs!$D$72/2)))),0)</f>
        <v>0.00375519807927189</v>
      </c>
      <c r="O28" s="48" t="n">
        <f aca="false">IF(O9&gt;=Inputs!$D$69,Inputs!$D$71/(1+EXP(-$C$26*(O9-(Inputs!$D$69+Inputs!$D$72/2)))),0)</f>
        <v>0.00431490576250351</v>
      </c>
      <c r="P28" s="48" t="n">
        <f aca="false">IF(P9&gt;=Inputs!$D$69,Inputs!$D$71/(1+EXP(-$C$26*(P9-(Inputs!$D$69+Inputs!$D$72/2)))),0)</f>
        <v>0.00464663074504932</v>
      </c>
      <c r="Q28" s="48" t="n">
        <f aca="false">IF(Q9&gt;=Inputs!$D$69,Inputs!$D$71/(1+EXP(-$C$26*(Q9-(Inputs!$D$69+Inputs!$D$72/2)))),0)</f>
        <v>0.00482427472553508</v>
      </c>
      <c r="R28" s="48" t="n">
        <f aca="false">IF(R9&gt;=Inputs!$D$69,Inputs!$D$71/(1+EXP(-$C$26*(R9-(Inputs!$D$69+Inputs!$D$72/2)))),0)</f>
        <v>0.00491426224119122</v>
      </c>
    </row>
    <row r="29" customFormat="false" ht="15" hidden="false" customHeight="false" outlineLevel="0" collapsed="false">
      <c r="A29" s="7" t="s">
        <v>594</v>
      </c>
      <c r="B29" s="17" t="s">
        <v>141</v>
      </c>
      <c r="D29" s="42" t="n">
        <f aca="false">Inputs!$D$30*(1+Inputs!$D$51)^MAX(0,D$6-2026)</f>
        <v>3000</v>
      </c>
      <c r="E29" s="42" t="n">
        <f aca="false">Inputs!$D$30*(1+Inputs!$D$51)^MAX(0,E$6-2026)</f>
        <v>3030</v>
      </c>
      <c r="F29" s="42" t="n">
        <f aca="false">Inputs!$D$30*(1+Inputs!$D$51)^MAX(0,F$6-2026)</f>
        <v>3060.3</v>
      </c>
      <c r="G29" s="42" t="n">
        <f aca="false">Inputs!$D$30*(1+Inputs!$D$51)^MAX(0,G$6-2026)</f>
        <v>3090.903</v>
      </c>
      <c r="H29" s="42" t="n">
        <f aca="false">Inputs!$D$30*(1+Inputs!$D$51)^MAX(0,H$6-2026)</f>
        <v>3121.81203</v>
      </c>
      <c r="I29" s="42" t="n">
        <f aca="false">Inputs!$D$30*(1+Inputs!$D$51)^MAX(0,I$6-2026)</f>
        <v>3153.0301503</v>
      </c>
      <c r="J29" s="42" t="n">
        <f aca="false">Inputs!$D$30*(1+Inputs!$D$51)^MAX(0,J$6-2026)</f>
        <v>3184.560451803</v>
      </c>
      <c r="K29" s="42" t="n">
        <f aca="false">Inputs!$D$30*(1+Inputs!$D$51)^MAX(0,K$6-2026)</f>
        <v>3216.40605632103</v>
      </c>
      <c r="L29" s="42" t="n">
        <f aca="false">Inputs!$D$30*(1+Inputs!$D$51)^MAX(0,L$6-2026)</f>
        <v>3248.57011688424</v>
      </c>
      <c r="M29" s="42" t="n">
        <f aca="false">Inputs!$D$30*(1+Inputs!$D$51)^MAX(0,M$6-2026)</f>
        <v>3281.05581805308</v>
      </c>
      <c r="N29" s="42" t="n">
        <f aca="false">Inputs!$D$30*(1+Inputs!$D$51)^MAX(0,N$6-2026)</f>
        <v>3313.86637623361</v>
      </c>
      <c r="O29" s="42" t="n">
        <f aca="false">Inputs!$D$30*(1+Inputs!$D$51)^MAX(0,O$6-2026)</f>
        <v>3347.00503999595</v>
      </c>
      <c r="P29" s="42" t="n">
        <f aca="false">Inputs!$D$30*(1+Inputs!$D$51)^MAX(0,P$6-2026)</f>
        <v>3380.47509039591</v>
      </c>
      <c r="Q29" s="42" t="n">
        <f aca="false">Inputs!$D$30*(1+Inputs!$D$51)^MAX(0,Q$6-2026)</f>
        <v>3414.27984129987</v>
      </c>
      <c r="R29" s="42" t="n">
        <f aca="false">Inputs!$D$30*(1+Inputs!$D$51)^MAX(0,R$6-2026)</f>
        <v>3448.42263971287</v>
      </c>
    </row>
    <row r="30" customFormat="false" ht="15" hidden="false" customHeight="false" outlineLevel="0" collapsed="false">
      <c r="A30" s="7" t="s">
        <v>595</v>
      </c>
      <c r="B30" s="17" t="s">
        <v>141</v>
      </c>
      <c r="D30" s="42" t="n">
        <f aca="false">D29*Inputs!$D$31*D24*D27</f>
        <v>0</v>
      </c>
      <c r="E30" s="42" t="n">
        <f aca="false">E29*Inputs!$D$31*E24*E27</f>
        <v>0</v>
      </c>
      <c r="F30" s="42" t="n">
        <f aca="false">F29*Inputs!$D$31*F24*F27</f>
        <v>0</v>
      </c>
      <c r="G30" s="42" t="n">
        <f aca="false">G29*Inputs!$D$31*G24*G27</f>
        <v>1.02396570959514</v>
      </c>
      <c r="H30" s="42" t="n">
        <f aca="false">H29*Inputs!$D$31*H24*H27</f>
        <v>2.00506446778145</v>
      </c>
      <c r="I30" s="42" t="n">
        <f aca="false">I29*Inputs!$D$31*I24*I27</f>
        <v>3.67959186300664</v>
      </c>
      <c r="J30" s="42" t="n">
        <f aca="false">J29*Inputs!$D$31*J24*J27</f>
        <v>6.10556543346757</v>
      </c>
      <c r="K30" s="42" t="n">
        <f aca="false">K29*Inputs!$D$31*K24*K27</f>
        <v>8.91028230120258</v>
      </c>
      <c r="L30" s="42" t="n">
        <f aca="false">L29*Inputs!$D$31*L24*L27</f>
        <v>11.4365852468473</v>
      </c>
      <c r="M30" s="42" t="n">
        <f aca="false">M29*Inputs!$D$31*M24*M27</f>
        <v>13.2726062403871</v>
      </c>
      <c r="N30" s="42" t="n">
        <f aca="false">N29*Inputs!$D$31*N24*N27</f>
        <v>14.4359188019928</v>
      </c>
      <c r="O30" s="42" t="n">
        <f aca="false">O29*Inputs!$D$31*O24*O27</f>
        <v>15.1376923318978</v>
      </c>
      <c r="P30" s="42" t="n">
        <f aca="false">P29*Inputs!$D$31*P24*P27</f>
        <v>15.5742572756438</v>
      </c>
      <c r="Q30" s="42" t="n">
        <f aca="false">Q29*Inputs!$D$31*Q24*Q27</f>
        <v>15.8718037286581</v>
      </c>
      <c r="R30" s="42" t="n">
        <f aca="false">R29*Inputs!$D$31*R24*R27</f>
        <v>16.1000398745753</v>
      </c>
    </row>
    <row r="31" customFormat="false" ht="15" hidden="false" customHeight="false" outlineLevel="0" collapsed="false">
      <c r="A31" s="7" t="s">
        <v>596</v>
      </c>
      <c r="B31" s="17" t="s">
        <v>141</v>
      </c>
      <c r="D31" s="42" t="n">
        <f aca="false">D29*(1-Inputs!$D$31)*D25*D28</f>
        <v>0</v>
      </c>
      <c r="E31" s="42" t="n">
        <f aca="false">E29*(1-Inputs!$D$31)*E25*E28</f>
        <v>0</v>
      </c>
      <c r="F31" s="42" t="n">
        <f aca="false">F29*(1-Inputs!$D$31)*F25*F28</f>
        <v>0</v>
      </c>
      <c r="G31" s="42" t="n">
        <f aca="false">G29*(1-Inputs!$D$31)*G25*G28</f>
        <v>0</v>
      </c>
      <c r="H31" s="42" t="n">
        <f aca="false">H29*(1-Inputs!$D$31)*H25*H28</f>
        <v>0</v>
      </c>
      <c r="I31" s="42" t="n">
        <f aca="false">I29*(1-Inputs!$D$31)*I25*I28</f>
        <v>0</v>
      </c>
      <c r="J31" s="42" t="n">
        <f aca="false">J29*(1-Inputs!$D$31)*J25*J28</f>
        <v>0</v>
      </c>
      <c r="K31" s="42" t="n">
        <f aca="false">K29*(1-Inputs!$D$31)*K25*K28</f>
        <v>0</v>
      </c>
      <c r="L31" s="42" t="n">
        <f aca="false">L29*(1-Inputs!$D$31)*L25*L28</f>
        <v>0</v>
      </c>
      <c r="M31" s="42" t="n">
        <f aca="false">M29*(1-Inputs!$D$31)*M25*M28</f>
        <v>0</v>
      </c>
      <c r="N31" s="42" t="n">
        <f aca="false">N29*(1-Inputs!$D$31)*N25*N28</f>
        <v>0</v>
      </c>
      <c r="O31" s="42" t="n">
        <f aca="false">O29*(1-Inputs!$D$31)*O25*O28</f>
        <v>0</v>
      </c>
      <c r="P31" s="42" t="n">
        <f aca="false">P29*(1-Inputs!$D$31)*P25*P28</f>
        <v>0</v>
      </c>
      <c r="Q31" s="42" t="n">
        <f aca="false">Q29*(1-Inputs!$D$31)*Q25*Q28</f>
        <v>0</v>
      </c>
      <c r="R31" s="42" t="n">
        <f aca="false">R29*(1-Inputs!$D$31)*R25*R28</f>
        <v>0</v>
      </c>
    </row>
    <row r="32" customFormat="false" ht="15" hidden="false" customHeight="false" outlineLevel="0" collapsed="false">
      <c r="A32" s="7" t="s">
        <v>597</v>
      </c>
      <c r="B32" s="17" t="s">
        <v>75</v>
      </c>
      <c r="D32" s="45" t="n">
        <f aca="false">(1+Inputs!$D$75)^MIN(MAX(0,D$6-2027),Inputs!$D$49-2027)*(1+Inputs!$D$50)^MAX(0,D$6-Inputs!$D$49)</f>
        <v>1</v>
      </c>
      <c r="E32" s="45" t="n">
        <f aca="false">(1+Inputs!$D$75)^MIN(MAX(0,E$6-2027),Inputs!$D$49-2027)*(1+Inputs!$D$50)^MAX(0,E$6-Inputs!$D$49)</f>
        <v>1</v>
      </c>
      <c r="F32" s="45" t="n">
        <f aca="false">(1+Inputs!$D$75)^MIN(MAX(0,F$6-2027),Inputs!$D$49-2027)*(1+Inputs!$D$50)^MAX(0,F$6-Inputs!$D$49)</f>
        <v>0.97</v>
      </c>
      <c r="G32" s="45" t="n">
        <f aca="false">(1+Inputs!$D$75)^MIN(MAX(0,G$6-2027),Inputs!$D$49-2027)*(1+Inputs!$D$50)^MAX(0,G$6-Inputs!$D$49)</f>
        <v>0.9409</v>
      </c>
      <c r="H32" s="45" t="n">
        <f aca="false">(1+Inputs!$D$75)^MIN(MAX(0,H$6-2027),Inputs!$D$49-2027)*(1+Inputs!$D$50)^MAX(0,H$6-Inputs!$D$49)</f>
        <v>0.912673</v>
      </c>
      <c r="I32" s="45" t="n">
        <f aca="false">(1+Inputs!$D$75)^MIN(MAX(0,I$6-2027),Inputs!$D$49-2027)*(1+Inputs!$D$50)^MAX(0,I$6-Inputs!$D$49)</f>
        <v>0.88529281</v>
      </c>
      <c r="J32" s="45" t="n">
        <f aca="false">(1+Inputs!$D$75)^MIN(MAX(0,J$6-2027),Inputs!$D$49-2027)*(1+Inputs!$D$50)^MAX(0,J$6-Inputs!$D$49)</f>
        <v>0.8587340257</v>
      </c>
      <c r="K32" s="45" t="n">
        <f aca="false">(1+Inputs!$D$75)^MIN(MAX(0,K$6-2027),Inputs!$D$49-2027)*(1+Inputs!$D$50)^MAX(0,K$6-Inputs!$D$49)</f>
        <v>0.8716150360855</v>
      </c>
      <c r="L32" s="45" t="n">
        <f aca="false">(1+Inputs!$D$75)^MIN(MAX(0,L$6-2027),Inputs!$D$49-2027)*(1+Inputs!$D$50)^MAX(0,L$6-Inputs!$D$49)</f>
        <v>0.884689261626782</v>
      </c>
      <c r="M32" s="45" t="n">
        <f aca="false">(1+Inputs!$D$75)^MIN(MAX(0,M$6-2027),Inputs!$D$49-2027)*(1+Inputs!$D$50)^MAX(0,M$6-Inputs!$D$49)</f>
        <v>0.897959600551184</v>
      </c>
      <c r="N32" s="45" t="n">
        <f aca="false">(1+Inputs!$D$75)^MIN(MAX(0,N$6-2027),Inputs!$D$49-2027)*(1+Inputs!$D$50)^MAX(0,N$6-Inputs!$D$49)</f>
        <v>0.911428994559452</v>
      </c>
      <c r="O32" s="45" t="n">
        <f aca="false">(1+Inputs!$D$75)^MIN(MAX(0,O$6-2027),Inputs!$D$49-2027)*(1+Inputs!$D$50)^MAX(0,O$6-Inputs!$D$49)</f>
        <v>0.925100429477843</v>
      </c>
      <c r="P32" s="45" t="n">
        <f aca="false">(1+Inputs!$D$75)^MIN(MAX(0,P$6-2027),Inputs!$D$49-2027)*(1+Inputs!$D$50)^MAX(0,P$6-Inputs!$D$49)</f>
        <v>0.938976935920011</v>
      </c>
      <c r="Q32" s="45" t="n">
        <f aca="false">(1+Inputs!$D$75)^MIN(MAX(0,Q$6-2027),Inputs!$D$49-2027)*(1+Inputs!$D$50)^MAX(0,Q$6-Inputs!$D$49)</f>
        <v>0.953061589958811</v>
      </c>
      <c r="R32" s="45" t="n">
        <f aca="false">(1+Inputs!$D$75)^MIN(MAX(0,R$6-2027),Inputs!$D$49-2027)*(1+Inputs!$D$50)^MAX(0,R$6-Inputs!$D$49)</f>
        <v>0.967357513808193</v>
      </c>
    </row>
    <row r="33" customFormat="false" ht="15" hidden="false" customHeight="false" outlineLevel="0" collapsed="false">
      <c r="A33" s="7" t="s">
        <v>598</v>
      </c>
      <c r="B33" s="17" t="s">
        <v>116</v>
      </c>
      <c r="D33" s="42" t="n">
        <f aca="false">D30*Inputs!$D$73*D32*12*D7</f>
        <v>0</v>
      </c>
      <c r="E33" s="42" t="n">
        <f aca="false">E30*Inputs!$D$73*E32*12*E7</f>
        <v>0</v>
      </c>
      <c r="F33" s="42" t="n">
        <f aca="false">F30*Inputs!$D$73*F32*12*F7</f>
        <v>0</v>
      </c>
      <c r="G33" s="42" t="n">
        <f aca="false">G30*Inputs!$D$73*G32*12*G7</f>
        <v>40.464872118639</v>
      </c>
      <c r="H33" s="42" t="n">
        <f aca="false">H30*Inputs!$D$73*H32*12*H7</f>
        <v>76.8586645261471</v>
      </c>
      <c r="I33" s="42" t="n">
        <f aca="false">I30*Inputs!$D$73*I32*12*I7</f>
        <v>136.81568124228</v>
      </c>
      <c r="J33" s="42" t="n">
        <f aca="false">J30*Inputs!$D$73*J32*12*J7</f>
        <v>220.208384921968</v>
      </c>
      <c r="K33" s="42" t="n">
        <f aca="false">K30*Inputs!$D$73*K32*12*K7</f>
        <v>326.186113238777</v>
      </c>
      <c r="L33" s="42" t="n">
        <f aca="false">L30*Inputs!$D$73*L32*12*L7</f>
        <v>424.948614617733</v>
      </c>
      <c r="M33" s="42" t="n">
        <f aca="false">M30*Inputs!$D$73*M32*12*M7</f>
        <v>500.567096311429</v>
      </c>
      <c r="N33" s="42" t="n">
        <f aca="false">N30*Inputs!$D$73*N32*12*N7</f>
        <v>552.60722828817</v>
      </c>
      <c r="O33" s="42" t="n">
        <f aca="false">O30*Inputs!$D$73*O32*12*O7</f>
        <v>588.163198456769</v>
      </c>
      <c r="P33" s="42" t="n">
        <f aca="false">P30*Inputs!$D$73*P32*12*P7</f>
        <v>614.202471788387</v>
      </c>
      <c r="Q33" s="42" t="n">
        <f aca="false">Q30*Inputs!$D$73*Q32*12*Q7</f>
        <v>635.32587288026</v>
      </c>
      <c r="R33" s="42" t="n">
        <f aca="false">R30*Inputs!$D$73*R32*12*R7</f>
        <v>654.128770901842</v>
      </c>
    </row>
    <row r="34" customFormat="false" ht="15" hidden="false" customHeight="false" outlineLevel="0" collapsed="false">
      <c r="A34" s="7" t="s">
        <v>599</v>
      </c>
      <c r="B34" s="17" t="s">
        <v>116</v>
      </c>
      <c r="D34" s="42" t="n">
        <f aca="false">D31*Inputs!$D$74*D32*12*D7</f>
        <v>0</v>
      </c>
      <c r="E34" s="42" t="n">
        <f aca="false">E31*Inputs!$D$74*E32*12*E7</f>
        <v>0</v>
      </c>
      <c r="F34" s="42" t="n">
        <f aca="false">F31*Inputs!$D$74*F32*12*F7</f>
        <v>0</v>
      </c>
      <c r="G34" s="42" t="n">
        <f aca="false">G31*Inputs!$D$74*G32*12*G7</f>
        <v>0</v>
      </c>
      <c r="H34" s="42" t="n">
        <f aca="false">H31*Inputs!$D$74*H32*12*H7</f>
        <v>0</v>
      </c>
      <c r="I34" s="42" t="n">
        <f aca="false">I31*Inputs!$D$74*I32*12*I7</f>
        <v>0</v>
      </c>
      <c r="J34" s="42" t="n">
        <f aca="false">J31*Inputs!$D$74*J32*12*J7</f>
        <v>0</v>
      </c>
      <c r="K34" s="42" t="n">
        <f aca="false">K31*Inputs!$D$74*K32*12*K7</f>
        <v>0</v>
      </c>
      <c r="L34" s="42" t="n">
        <f aca="false">L31*Inputs!$D$74*L32*12*L7</f>
        <v>0</v>
      </c>
      <c r="M34" s="42" t="n">
        <f aca="false">M31*Inputs!$D$74*M32*12*M7</f>
        <v>0</v>
      </c>
      <c r="N34" s="42" t="n">
        <f aca="false">N31*Inputs!$D$74*N32*12*N7</f>
        <v>0</v>
      </c>
      <c r="O34" s="42" t="n">
        <f aca="false">O31*Inputs!$D$74*O32*12*O7</f>
        <v>0</v>
      </c>
      <c r="P34" s="42" t="n">
        <f aca="false">P31*Inputs!$D$74*P32*12*P7</f>
        <v>0</v>
      </c>
      <c r="Q34" s="42" t="n">
        <f aca="false">Q31*Inputs!$D$74*Q32*12*Q7</f>
        <v>0</v>
      </c>
      <c r="R34" s="42" t="n">
        <f aca="false">R31*Inputs!$D$74*R32*12*R7</f>
        <v>0</v>
      </c>
    </row>
    <row r="35" customFormat="false" ht="15" hidden="false" customHeight="false" outlineLevel="0" collapsed="false">
      <c r="A35" s="7" t="s">
        <v>600</v>
      </c>
      <c r="B35" s="17" t="s">
        <v>116</v>
      </c>
      <c r="D35" s="42" t="n">
        <f aca="false">IF(D$6=2026,Inputs!$D$78,IF(D$6=2027,Inputs!$D$79,IF(D$6=2028,Inputs!$D$80,IF(D$6=2029,Inputs!$D$81,Inputs!$D$82*(1+Inputs!$D$83)^(D$6-2030)))))</f>
        <v>35</v>
      </c>
      <c r="E35" s="42" t="n">
        <f aca="false">IF(E$6=2026,Inputs!$D$78,IF(E$6=2027,Inputs!$D$79,IF(E$6=2028,Inputs!$D$80,IF(E$6=2029,Inputs!$D$81,Inputs!$D$82*(1+Inputs!$D$83)^(E$6-2030)))))</f>
        <v>60</v>
      </c>
      <c r="F35" s="42" t="n">
        <f aca="false">IF(F$6=2026,Inputs!$D$78,IF(F$6=2027,Inputs!$D$79,IF(F$6=2028,Inputs!$D$80,IF(F$6=2029,Inputs!$D$81,Inputs!$D$82*(1+Inputs!$D$83)^(F$6-2030)))))</f>
        <v>80</v>
      </c>
      <c r="G35" s="42" t="n">
        <f aca="false">IF(G$6=2026,Inputs!$D$78,IF(G$6=2027,Inputs!$D$79,IF(G$6=2028,Inputs!$D$80,IF(G$6=2029,Inputs!$D$81,Inputs!$D$82*(1+Inputs!$D$83)^(G$6-2030)))))</f>
        <v>90</v>
      </c>
      <c r="H35" s="42" t="n">
        <f aca="false">IF(H$6=2026,Inputs!$D$78,IF(H$6=2027,Inputs!$D$79,IF(H$6=2028,Inputs!$D$80,IF(H$6=2029,Inputs!$D$81,Inputs!$D$82*(1+Inputs!$D$83)^(H$6-2030)))))</f>
        <v>100</v>
      </c>
      <c r="I35" s="42" t="n">
        <f aca="false">IF(I$6=2026,Inputs!$D$78,IF(I$6=2027,Inputs!$D$79,IF(I$6=2028,Inputs!$D$80,IF(I$6=2029,Inputs!$D$81,Inputs!$D$82*(1+Inputs!$D$83)^(I$6-2030)))))</f>
        <v>102</v>
      </c>
      <c r="J35" s="42" t="n">
        <f aca="false">IF(J$6=2026,Inputs!$D$78,IF(J$6=2027,Inputs!$D$79,IF(J$6=2028,Inputs!$D$80,IF(J$6=2029,Inputs!$D$81,Inputs!$D$82*(1+Inputs!$D$83)^(J$6-2030)))))</f>
        <v>104.04</v>
      </c>
      <c r="K35" s="42" t="n">
        <f aca="false">IF(K$6=2026,Inputs!$D$78,IF(K$6=2027,Inputs!$D$79,IF(K$6=2028,Inputs!$D$80,IF(K$6=2029,Inputs!$D$81,Inputs!$D$82*(1+Inputs!$D$83)^(K$6-2030)))))</f>
        <v>106.1208</v>
      </c>
      <c r="L35" s="42" t="n">
        <f aca="false">IF(L$6=2026,Inputs!$D$78,IF(L$6=2027,Inputs!$D$79,IF(L$6=2028,Inputs!$D$80,IF(L$6=2029,Inputs!$D$81,Inputs!$D$82*(1+Inputs!$D$83)^(L$6-2030)))))</f>
        <v>108.243216</v>
      </c>
      <c r="M35" s="42" t="n">
        <f aca="false">IF(M$6=2026,Inputs!$D$78,IF(M$6=2027,Inputs!$D$79,IF(M$6=2028,Inputs!$D$80,IF(M$6=2029,Inputs!$D$81,Inputs!$D$82*(1+Inputs!$D$83)^(M$6-2030)))))</f>
        <v>110.40808032</v>
      </c>
      <c r="N35" s="42" t="n">
        <f aca="false">IF(N$6=2026,Inputs!$D$78,IF(N$6=2027,Inputs!$D$79,IF(N$6=2028,Inputs!$D$80,IF(N$6=2029,Inputs!$D$81,Inputs!$D$82*(1+Inputs!$D$83)^(N$6-2030)))))</f>
        <v>112.6162419264</v>
      </c>
      <c r="O35" s="42" t="n">
        <f aca="false">IF(O$6=2026,Inputs!$D$78,IF(O$6=2027,Inputs!$D$79,IF(O$6=2028,Inputs!$D$80,IF(O$6=2029,Inputs!$D$81,Inputs!$D$82*(1+Inputs!$D$83)^(O$6-2030)))))</f>
        <v>114.868566764928</v>
      </c>
      <c r="P35" s="42" t="n">
        <f aca="false">IF(P$6=2026,Inputs!$D$78,IF(P$6=2027,Inputs!$D$79,IF(P$6=2028,Inputs!$D$80,IF(P$6=2029,Inputs!$D$81,Inputs!$D$82*(1+Inputs!$D$83)^(P$6-2030)))))</f>
        <v>117.165938100227</v>
      </c>
      <c r="Q35" s="42" t="n">
        <f aca="false">IF(Q$6=2026,Inputs!$D$78,IF(Q$6=2027,Inputs!$D$79,IF(Q$6=2028,Inputs!$D$80,IF(Q$6=2029,Inputs!$D$81,Inputs!$D$82*(1+Inputs!$D$83)^(Q$6-2030)))))</f>
        <v>119.509256862231</v>
      </c>
      <c r="R35" s="42" t="n">
        <f aca="false">IF(R$6=2026,Inputs!$D$78,IF(R$6=2027,Inputs!$D$79,IF(R$6=2028,Inputs!$D$80,IF(R$6=2029,Inputs!$D$81,Inputs!$D$82*(1+Inputs!$D$83)^(R$6-2030)))))</f>
        <v>121.899441999476</v>
      </c>
    </row>
    <row r="36" customFormat="false" ht="15" hidden="false" customHeight="false" outlineLevel="0" collapsed="false">
      <c r="A36" s="7" t="s">
        <v>601</v>
      </c>
      <c r="B36" s="17" t="s">
        <v>116</v>
      </c>
      <c r="D36" s="16" t="n">
        <f aca="false">IF(D$6=2026,Inputs!$D$84,IF(D$6=2027,Inputs!$D$85,IF(D$6=2028,Inputs!$D$86,Inputs!$D$87)))</f>
        <v>70</v>
      </c>
      <c r="E36" s="16" t="n">
        <f aca="false">IF(E$6=2026,Inputs!$D$84,IF(E$6=2027,Inputs!$D$85,IF(E$6=2028,Inputs!$D$86,Inputs!$D$87)))</f>
        <v>60</v>
      </c>
      <c r="F36" s="16" t="n">
        <f aca="false">IF(F$6=2026,Inputs!$D$84,IF(F$6=2027,Inputs!$D$85,IF(F$6=2028,Inputs!$D$86,Inputs!$D$87)))</f>
        <v>30</v>
      </c>
      <c r="G36" s="16" t="n">
        <f aca="false">IF(G$6=2026,Inputs!$D$84,IF(G$6=2027,Inputs!$D$85,IF(G$6=2028,Inputs!$D$86,Inputs!$D$87)))</f>
        <v>20</v>
      </c>
      <c r="H36" s="16" t="n">
        <f aca="false">IF(H$6=2026,Inputs!$D$84,IF(H$6=2027,Inputs!$D$85,IF(H$6=2028,Inputs!$D$86,Inputs!$D$87)))</f>
        <v>20</v>
      </c>
      <c r="I36" s="16" t="n">
        <f aca="false">IF(I$6=2026,Inputs!$D$84,IF(I$6=2027,Inputs!$D$85,IF(I$6=2028,Inputs!$D$86,Inputs!$D$87)))</f>
        <v>20</v>
      </c>
      <c r="J36" s="16" t="n">
        <f aca="false">IF(J$6=2026,Inputs!$D$84,IF(J$6=2027,Inputs!$D$85,IF(J$6=2028,Inputs!$D$86,Inputs!$D$87)))</f>
        <v>20</v>
      </c>
      <c r="K36" s="16" t="n">
        <f aca="false">IF(K$6=2026,Inputs!$D$84,IF(K$6=2027,Inputs!$D$85,IF(K$6=2028,Inputs!$D$86,Inputs!$D$87)))</f>
        <v>20</v>
      </c>
      <c r="L36" s="16" t="n">
        <f aca="false">IF(L$6=2026,Inputs!$D$84,IF(L$6=2027,Inputs!$D$85,IF(L$6=2028,Inputs!$D$86,Inputs!$D$87)))</f>
        <v>20</v>
      </c>
      <c r="M36" s="16" t="n">
        <f aca="false">IF(M$6=2026,Inputs!$D$84,IF(M$6=2027,Inputs!$D$85,IF(M$6=2028,Inputs!$D$86,Inputs!$D$87)))</f>
        <v>20</v>
      </c>
      <c r="N36" s="16" t="n">
        <f aca="false">IF(N$6=2026,Inputs!$D$84,IF(N$6=2027,Inputs!$D$85,IF(N$6=2028,Inputs!$D$86,Inputs!$D$87)))</f>
        <v>20</v>
      </c>
      <c r="O36" s="16" t="n">
        <f aca="false">IF(O$6=2026,Inputs!$D$84,IF(O$6=2027,Inputs!$D$85,IF(O$6=2028,Inputs!$D$86,Inputs!$D$87)))</f>
        <v>20</v>
      </c>
      <c r="P36" s="16" t="n">
        <f aca="false">IF(P$6=2026,Inputs!$D$84,IF(P$6=2027,Inputs!$D$85,IF(P$6=2028,Inputs!$D$86,Inputs!$D$87)))</f>
        <v>20</v>
      </c>
      <c r="Q36" s="16" t="n">
        <f aca="false">IF(Q$6=2026,Inputs!$D$84,IF(Q$6=2027,Inputs!$D$85,IF(Q$6=2028,Inputs!$D$86,Inputs!$D$87)))</f>
        <v>20</v>
      </c>
      <c r="R36" s="16" t="n">
        <f aca="false">IF(R$6=2026,Inputs!$D$84,IF(R$6=2027,Inputs!$D$85,IF(R$6=2028,Inputs!$D$86,Inputs!$D$87)))</f>
        <v>20</v>
      </c>
    </row>
    <row r="37" customFormat="false" ht="15" hidden="false" customHeight="false" outlineLevel="0" collapsed="false">
      <c r="A37" s="3" t="s">
        <v>602</v>
      </c>
      <c r="B37" s="17" t="s">
        <v>116</v>
      </c>
      <c r="D37" s="55" t="n">
        <f aca="false">SUM(D33:D36)</f>
        <v>105</v>
      </c>
      <c r="E37" s="55" t="n">
        <f aca="false">SUM(E33:E36)</f>
        <v>120</v>
      </c>
      <c r="F37" s="55" t="n">
        <f aca="false">SUM(F33:F36)</f>
        <v>110</v>
      </c>
      <c r="G37" s="55" t="n">
        <f aca="false">SUM(G33:G36)</f>
        <v>150.464872118639</v>
      </c>
      <c r="H37" s="55" t="n">
        <f aca="false">SUM(H33:H36)</f>
        <v>196.858664526147</v>
      </c>
      <c r="I37" s="55" t="n">
        <f aca="false">SUM(I33:I36)</f>
        <v>258.81568124228</v>
      </c>
      <c r="J37" s="55" t="n">
        <f aca="false">SUM(J33:J36)</f>
        <v>344.248384921968</v>
      </c>
      <c r="K37" s="55" t="n">
        <f aca="false">SUM(K33:K36)</f>
        <v>452.306913238777</v>
      </c>
      <c r="L37" s="55" t="n">
        <f aca="false">SUM(L33:L36)</f>
        <v>553.191830617733</v>
      </c>
      <c r="M37" s="55" t="n">
        <f aca="false">SUM(M33:M36)</f>
        <v>630.975176631429</v>
      </c>
      <c r="N37" s="55" t="n">
        <f aca="false">SUM(N33:N36)</f>
        <v>685.22347021457</v>
      </c>
      <c r="O37" s="55" t="n">
        <f aca="false">SUM(O33:O36)</f>
        <v>723.031765221697</v>
      </c>
      <c r="P37" s="55" t="n">
        <f aca="false">SUM(P33:P36)</f>
        <v>751.368409888614</v>
      </c>
      <c r="Q37" s="55" t="n">
        <f aca="false">SUM(Q33:Q36)</f>
        <v>774.835129742491</v>
      </c>
      <c r="R37" s="55" t="n">
        <f aca="false">SUM(R33:R36)</f>
        <v>796.028212901318</v>
      </c>
      <c r="S37" s="54" t="n">
        <f aca="false">R37*(1+Inputs!$D$20)</f>
        <v>815.928918223851</v>
      </c>
    </row>
    <row r="38" customFormat="false" ht="15" hidden="false" customHeight="false" outlineLevel="0" collapsed="false">
      <c r="A38" s="7" t="s">
        <v>603</v>
      </c>
      <c r="B38" s="17" t="s">
        <v>68</v>
      </c>
      <c r="D38" s="41" t="n">
        <f aca="false">IF(Inputs!$D$36=0,0,(D37/D7)/(Inputs!$D$36/0.5)-1)</f>
        <v>1.27002486217706</v>
      </c>
      <c r="E38" s="41" t="n">
        <f aca="false">IF(D37=0,0,(E37/E7)/(D37/D7)-1)</f>
        <v>-0.428571428571429</v>
      </c>
      <c r="F38" s="41" t="n">
        <f aca="false">IF(E37=0,0,(F37/F7)/(E37/E7)-1)</f>
        <v>-0.0833333333333334</v>
      </c>
      <c r="G38" s="41" t="n">
        <f aca="false">IF(F37=0,0,(G37/G7)/(F37/F7)-1)</f>
        <v>0.367862473805809</v>
      </c>
      <c r="H38" s="41" t="n">
        <f aca="false">IF(G37=0,0,(H37/H7)/(G37/G7)-1)</f>
        <v>0.308336369507744</v>
      </c>
      <c r="I38" s="41" t="n">
        <f aca="false">IF(H37=0,0,(I37/I7)/(H37/H7)-1)</f>
        <v>0.314728421353805</v>
      </c>
      <c r="J38" s="41" t="n">
        <f aca="false">IF(I37=0,0,(J37/J7)/(I37/I7)-1)</f>
        <v>0.330090909753314</v>
      </c>
      <c r="K38" s="41" t="n">
        <f aca="false">IF(J37=0,0,(K37/K7)/(J37/J7)-1)</f>
        <v>0.313896979767394</v>
      </c>
      <c r="L38" s="41" t="n">
        <f aca="false">IF(K37=0,0,(L37/L7)/(K37/K7)-1)</f>
        <v>0.223045269541786</v>
      </c>
      <c r="M38" s="41" t="n">
        <f aca="false">IF(L37=0,0,(M37/M7)/(L37/L7)-1)</f>
        <v>0.140608269516268</v>
      </c>
      <c r="N38" s="41" t="n">
        <f aca="false">IF(M37=0,0,(N37/N7)/(M37/M7)-1)</f>
        <v>0.0859753213632837</v>
      </c>
      <c r="O38" s="41" t="n">
        <f aca="false">IF(N37=0,0,(O37/O7)/(N37/N7)-1)</f>
        <v>0.0551765907774398</v>
      </c>
      <c r="P38" s="41" t="n">
        <f aca="false">IF(O37=0,0,(P37/P7)/(O37/O7)-1)</f>
        <v>0.0391914242636744</v>
      </c>
      <c r="Q38" s="41" t="n">
        <f aca="false">IF(P37=0,0,(Q37/Q7)/(P37/P7)-1)</f>
        <v>0.0312319756128105</v>
      </c>
      <c r="R38" s="41" t="n">
        <f aca="false">IF(Q37=0,0,(R37/R7)/(Q37/Q7)-1)</f>
        <v>0.0273517324464496</v>
      </c>
    </row>
    <row r="39" customFormat="false" ht="15" hidden="false" customHeight="false" outlineLevel="0" collapsed="false">
      <c r="A39" s="7" t="s">
        <v>604</v>
      </c>
      <c r="B39" s="17" t="s">
        <v>141</v>
      </c>
      <c r="D39" s="45" t="n">
        <f aca="false">IF(D17=0,0,(D30+D31)/D17)</f>
        <v>0</v>
      </c>
      <c r="E39" s="45" t="n">
        <f aca="false">IF(E17=0,0,(E30+E31)/E17)</f>
        <v>0</v>
      </c>
      <c r="F39" s="45" t="n">
        <f aca="false">IF(F17=0,0,(F30+F31)/F17)</f>
        <v>0</v>
      </c>
      <c r="G39" s="45" t="n">
        <f aca="false">IF(G17=0,0,(G30+G31)/G17)</f>
        <v>0.0227547935465588</v>
      </c>
      <c r="H39" s="45" t="n">
        <f aca="false">IF(H17=0,0,(H30+H31)/H17)</f>
        <v>0.0445569881729212</v>
      </c>
      <c r="I39" s="45" t="n">
        <f aca="false">IF(I17=0,0,(I30+I31)/I17)</f>
        <v>0.0817687080668142</v>
      </c>
      <c r="J39" s="45" t="n">
        <f aca="false">IF(J17=0,0,(J30+J31)/J17)</f>
        <v>0.135679231854835</v>
      </c>
      <c r="K39" s="45" t="n">
        <f aca="false">IF(K17=0,0,(K30+K31)/K17)</f>
        <v>0.198006273360057</v>
      </c>
      <c r="L39" s="45" t="n">
        <f aca="false">IF(L17=0,0,(L30+L31)/L17)</f>
        <v>0.254146338818828</v>
      </c>
      <c r="M39" s="45" t="n">
        <f aca="false">IF(M17=0,0,(M30+M31)/M17)</f>
        <v>0.294946805341936</v>
      </c>
      <c r="N39" s="45" t="n">
        <f aca="false">IF(N17=0,0,(N30+N31)/N17)</f>
        <v>0.320798195599839</v>
      </c>
      <c r="O39" s="45" t="n">
        <f aca="false">IF(O17=0,0,(O30+O31)/O17)</f>
        <v>0.336393162931062</v>
      </c>
      <c r="P39" s="45" t="n">
        <f aca="false">IF(P17=0,0,(P30+P31)/P17)</f>
        <v>0.346094606125419</v>
      </c>
      <c r="Q39" s="45" t="n">
        <f aca="false">IF(Q17=0,0,(Q30+Q31)/Q17)</f>
        <v>0.352706749525735</v>
      </c>
      <c r="R39" s="45" t="n">
        <f aca="false">IF(R17=0,0,(R30+R31)/R17)</f>
        <v>0.357778663879452</v>
      </c>
    </row>
    <row r="40" customFormat="false" ht="15" hidden="false" customHeight="false" outlineLevel="0" collapsed="false">
      <c r="A40" s="5" t="s">
        <v>605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customFormat="false" ht="15" hidden="false" customHeight="false" outlineLevel="0" collapsed="false">
      <c r="A41" s="7" t="s">
        <v>606</v>
      </c>
      <c r="B41" s="17" t="s">
        <v>116</v>
      </c>
      <c r="D41" s="42" t="n">
        <f aca="false">D36*(1-Inputs!$D$52)+D35*Inputs!$D$53</f>
        <v>78.75</v>
      </c>
      <c r="E41" s="42" t="n">
        <f aca="false">E36*(1-Inputs!$D$52)+E35*Inputs!$D$53</f>
        <v>78</v>
      </c>
      <c r="F41" s="42" t="n">
        <f aca="false">F36*(1-Inputs!$D$52)+F35*Inputs!$D$53</f>
        <v>56.5</v>
      </c>
      <c r="G41" s="42" t="n">
        <f aca="false">G36*(1-Inputs!$D$52)+G35*Inputs!$D$53</f>
        <v>50.5</v>
      </c>
      <c r="H41" s="42" t="n">
        <f aca="false">H36*(1-Inputs!$D$52)+H35*Inputs!$D$53</f>
        <v>54</v>
      </c>
      <c r="I41" s="42" t="n">
        <f aca="false">I36*(1-Inputs!$D$52)+I35*Inputs!$D$53</f>
        <v>54.7</v>
      </c>
      <c r="J41" s="42" t="n">
        <f aca="false">J36*(1-Inputs!$D$52)+J35*Inputs!$D$53</f>
        <v>55.414</v>
      </c>
      <c r="K41" s="42" t="n">
        <f aca="false">K36*(1-Inputs!$D$52)+K35*Inputs!$D$53</f>
        <v>56.14228</v>
      </c>
      <c r="L41" s="42" t="n">
        <f aca="false">L36*(1-Inputs!$D$52)+L35*Inputs!$D$53</f>
        <v>56.8851256</v>
      </c>
      <c r="M41" s="42" t="n">
        <f aca="false">M36*(1-Inputs!$D$52)+M35*Inputs!$D$53</f>
        <v>57.642828112</v>
      </c>
      <c r="N41" s="42" t="n">
        <f aca="false">N36*(1-Inputs!$D$52)+N35*Inputs!$D$53</f>
        <v>58.41568467424</v>
      </c>
      <c r="O41" s="42" t="n">
        <f aca="false">O36*(1-Inputs!$D$52)+O35*Inputs!$D$53</f>
        <v>59.2039983677248</v>
      </c>
      <c r="P41" s="42" t="n">
        <f aca="false">P36*(1-Inputs!$D$52)+P35*Inputs!$D$53</f>
        <v>60.0080783350793</v>
      </c>
      <c r="Q41" s="42" t="n">
        <f aca="false">Q36*(1-Inputs!$D$52)+Q35*Inputs!$D$53</f>
        <v>60.8282399017809</v>
      </c>
      <c r="R41" s="42" t="n">
        <f aca="false">R36*(1-Inputs!$D$52)+R35*Inputs!$D$53</f>
        <v>61.6648046998165</v>
      </c>
    </row>
    <row r="42" customFormat="false" ht="15" hidden="false" customHeight="false" outlineLevel="0" collapsed="false">
      <c r="A42" s="7" t="s">
        <v>607</v>
      </c>
      <c r="B42" s="17" t="s">
        <v>116</v>
      </c>
      <c r="D42" s="42" t="n">
        <f aca="false">(D33+D34)*Inputs!$D$76</f>
        <v>0</v>
      </c>
      <c r="E42" s="42" t="n">
        <f aca="false">(E33+E34)*Inputs!$D$76</f>
        <v>0</v>
      </c>
      <c r="F42" s="42" t="n">
        <f aca="false">(F33+F34)*Inputs!$D$76</f>
        <v>0</v>
      </c>
      <c r="G42" s="42" t="n">
        <f aca="false">(G33+G34)*Inputs!$D$76</f>
        <v>6.06973081779585</v>
      </c>
      <c r="H42" s="42" t="n">
        <f aca="false">(H33+H34)*Inputs!$D$76</f>
        <v>11.5287996789221</v>
      </c>
      <c r="I42" s="42" t="n">
        <f aca="false">(I33+I34)*Inputs!$D$76</f>
        <v>20.522352186342</v>
      </c>
      <c r="J42" s="42" t="n">
        <f aca="false">(J33+J34)*Inputs!$D$76</f>
        <v>33.0312577382951</v>
      </c>
      <c r="K42" s="42" t="n">
        <f aca="false">(K33+K34)*Inputs!$D$76</f>
        <v>48.9279169858165</v>
      </c>
      <c r="L42" s="42" t="n">
        <f aca="false">(L33+L34)*Inputs!$D$76</f>
        <v>63.7422921926599</v>
      </c>
      <c r="M42" s="42" t="n">
        <f aca="false">(M33+M34)*Inputs!$D$76</f>
        <v>75.0850644467143</v>
      </c>
      <c r="N42" s="42" t="n">
        <f aca="false">(N33+N34)*Inputs!$D$76</f>
        <v>82.8910842432255</v>
      </c>
      <c r="O42" s="42" t="n">
        <f aca="false">(O33+O34)*Inputs!$D$76</f>
        <v>88.2244797685153</v>
      </c>
      <c r="P42" s="42" t="n">
        <f aca="false">(P33+P34)*Inputs!$D$76</f>
        <v>92.1303707682581</v>
      </c>
      <c r="Q42" s="42" t="n">
        <f aca="false">(Q33+Q34)*Inputs!$D$76</f>
        <v>95.298880932039</v>
      </c>
      <c r="R42" s="42" t="n">
        <f aca="false">(R33+R34)*Inputs!$D$76</f>
        <v>98.1193156352763</v>
      </c>
    </row>
    <row r="43" customFormat="false" ht="15" hidden="false" customHeight="false" outlineLevel="0" collapsed="false">
      <c r="A43" s="7" t="s">
        <v>608</v>
      </c>
      <c r="B43" s="17" t="s">
        <v>116</v>
      </c>
      <c r="D43" s="42" t="n">
        <f aca="false">D33*Inputs!$D$47</f>
        <v>0</v>
      </c>
      <c r="E43" s="42" t="n">
        <f aca="false">E33*Inputs!$D$47</f>
        <v>0</v>
      </c>
      <c r="F43" s="42" t="n">
        <f aca="false">F33*Inputs!$D$47</f>
        <v>0</v>
      </c>
      <c r="G43" s="42" t="n">
        <f aca="false">G33*Inputs!$D$47</f>
        <v>1.21394616355917</v>
      </c>
      <c r="H43" s="42" t="n">
        <f aca="false">H33*Inputs!$D$47</f>
        <v>2.30575993578441</v>
      </c>
      <c r="I43" s="42" t="n">
        <f aca="false">I33*Inputs!$D$47</f>
        <v>4.10447043726839</v>
      </c>
      <c r="J43" s="42" t="n">
        <f aca="false">J33*Inputs!$D$47</f>
        <v>6.60625154765903</v>
      </c>
      <c r="K43" s="42" t="n">
        <f aca="false">K33*Inputs!$D$47</f>
        <v>9.7855833971633</v>
      </c>
      <c r="L43" s="42" t="n">
        <f aca="false">L33*Inputs!$D$47</f>
        <v>12.748458438532</v>
      </c>
      <c r="M43" s="42" t="n">
        <f aca="false">M33*Inputs!$D$47</f>
        <v>15.0170128893429</v>
      </c>
      <c r="N43" s="42" t="n">
        <f aca="false">N33*Inputs!$D$47</f>
        <v>16.5782168486451</v>
      </c>
      <c r="O43" s="42" t="n">
        <f aca="false">O33*Inputs!$D$47</f>
        <v>17.6448959537031</v>
      </c>
      <c r="P43" s="42" t="n">
        <f aca="false">P33*Inputs!$D$47</f>
        <v>18.4260741536516</v>
      </c>
      <c r="Q43" s="42" t="n">
        <f aca="false">Q33*Inputs!$D$47</f>
        <v>19.0597761864078</v>
      </c>
      <c r="R43" s="42" t="n">
        <f aca="false">R33*Inputs!$D$47</f>
        <v>19.6238631270553</v>
      </c>
    </row>
    <row r="44" customFormat="false" ht="15" hidden="false" customHeight="false" outlineLevel="0" collapsed="false">
      <c r="A44" s="7" t="s">
        <v>609</v>
      </c>
      <c r="B44" s="17" t="s">
        <v>116</v>
      </c>
      <c r="D44" s="42" t="n">
        <f aca="false">IF(D$6&gt;=Inputs!$D$45,Inputs!$D$46*D7,0)</f>
        <v>0</v>
      </c>
      <c r="E44" s="42" t="n">
        <f aca="false">IF(E$6&gt;=Inputs!$D$45,Inputs!$D$46*E7,0)</f>
        <v>100</v>
      </c>
      <c r="F44" s="42" t="n">
        <f aca="false">IF(F$6&gt;=Inputs!$D$45,Inputs!$D$46*F7,0)</f>
        <v>100</v>
      </c>
      <c r="G44" s="42" t="n">
        <f aca="false">IF(G$6&gt;=Inputs!$D$45,Inputs!$D$46*G7,0)</f>
        <v>100</v>
      </c>
      <c r="H44" s="42" t="n">
        <f aca="false">IF(H$6&gt;=Inputs!$D$45,Inputs!$D$46*H7,0)</f>
        <v>100</v>
      </c>
      <c r="I44" s="42" t="n">
        <f aca="false">IF(I$6&gt;=Inputs!$D$45,Inputs!$D$46*I7,0)</f>
        <v>100</v>
      </c>
      <c r="J44" s="42" t="n">
        <f aca="false">IF(J$6&gt;=Inputs!$D$45,Inputs!$D$46*J7,0)</f>
        <v>100</v>
      </c>
      <c r="K44" s="42" t="n">
        <f aca="false">IF(K$6&gt;=Inputs!$D$45,Inputs!$D$46*K7,0)</f>
        <v>100</v>
      </c>
      <c r="L44" s="42" t="n">
        <f aca="false">IF(L$6&gt;=Inputs!$D$45,Inputs!$D$46*L7,0)</f>
        <v>100</v>
      </c>
      <c r="M44" s="42" t="n">
        <f aca="false">IF(M$6&gt;=Inputs!$D$45,Inputs!$D$46*M7,0)</f>
        <v>100</v>
      </c>
      <c r="N44" s="42" t="n">
        <f aca="false">IF(N$6&gt;=Inputs!$D$45,Inputs!$D$46*N7,0)</f>
        <v>100</v>
      </c>
      <c r="O44" s="42" t="n">
        <f aca="false">IF(O$6&gt;=Inputs!$D$45,Inputs!$D$46*O7,0)</f>
        <v>100</v>
      </c>
      <c r="P44" s="42" t="n">
        <f aca="false">IF(P$6&gt;=Inputs!$D$45,Inputs!$D$46*P7,0)</f>
        <v>100</v>
      </c>
      <c r="Q44" s="42" t="n">
        <f aca="false">IF(Q$6&gt;=Inputs!$D$45,Inputs!$D$46*Q7,0)</f>
        <v>100</v>
      </c>
      <c r="R44" s="42" t="n">
        <f aca="false">IF(R$6&gt;=Inputs!$D$45,Inputs!$D$46*R7,0)</f>
        <v>100</v>
      </c>
    </row>
    <row r="45" customFormat="false" ht="15" hidden="false" customHeight="false" outlineLevel="0" collapsed="false">
      <c r="A45" s="7" t="s">
        <v>610</v>
      </c>
      <c r="B45" s="17" t="s">
        <v>116</v>
      </c>
      <c r="D45" s="16" t="n">
        <f aca="false">Inputs!$D$89</f>
        <v>215</v>
      </c>
      <c r="E45" s="42" t="n">
        <f aca="false">IF(E$6=2027,Inputs!$D$90,D45*(1+IF(E$6=2028,Inputs!$D$91,IF(E$6=2029,Inputs!$D$92,IF(E$6=2030,Inputs!$D$93,Inputs!$D$94)))))</f>
        <v>480</v>
      </c>
      <c r="F45" s="42" t="n">
        <f aca="false">IF(F$6=2027,Inputs!$D$90,E45*(1+IF(F$6=2028,Inputs!$D$91,IF(F$6=2029,Inputs!$D$92,IF(F$6=2030,Inputs!$D$93,Inputs!$D$94)))))</f>
        <v>518.4</v>
      </c>
      <c r="G45" s="42" t="n">
        <f aca="false">IF(G$6=2027,Inputs!$D$90,F45*(1+IF(G$6=2028,Inputs!$D$91,IF(G$6=2029,Inputs!$D$92,IF(G$6=2030,Inputs!$D$93,Inputs!$D$94)))))</f>
        <v>544.32</v>
      </c>
      <c r="H45" s="42" t="n">
        <f aca="false">IF(H$6=2027,Inputs!$D$90,G45*(1+IF(H$6=2028,Inputs!$D$91,IF(H$6=2029,Inputs!$D$92,IF(H$6=2030,Inputs!$D$93,Inputs!$D$94)))))</f>
        <v>560.6496</v>
      </c>
      <c r="I45" s="42" t="n">
        <f aca="false">IF(I$6=2027,Inputs!$D$90,H45*(1+IF(I$6=2028,Inputs!$D$91,IF(I$6=2029,Inputs!$D$92,IF(I$6=2030,Inputs!$D$93,Inputs!$D$94)))))</f>
        <v>580.272336</v>
      </c>
      <c r="J45" s="42" t="n">
        <f aca="false">IF(J$6=2027,Inputs!$D$90,I45*(1+IF(J$6=2028,Inputs!$D$91,IF(J$6=2029,Inputs!$D$92,IF(J$6=2030,Inputs!$D$93,Inputs!$D$94)))))</f>
        <v>600.58186776</v>
      </c>
      <c r="K45" s="42" t="n">
        <f aca="false">IF(K$6=2027,Inputs!$D$90,J45*(1+IF(K$6=2028,Inputs!$D$91,IF(K$6=2029,Inputs!$D$92,IF(K$6=2030,Inputs!$D$93,Inputs!$D$94)))))</f>
        <v>621.6022331316</v>
      </c>
      <c r="L45" s="42" t="n">
        <f aca="false">IF(L$6=2027,Inputs!$D$90,K45*(1+IF(L$6=2028,Inputs!$D$91,IF(L$6=2029,Inputs!$D$92,IF(L$6=2030,Inputs!$D$93,Inputs!$D$94)))))</f>
        <v>643.358311291206</v>
      </c>
      <c r="M45" s="42" t="n">
        <f aca="false">IF(M$6=2027,Inputs!$D$90,L45*(1+IF(M$6=2028,Inputs!$D$91,IF(M$6=2029,Inputs!$D$92,IF(M$6=2030,Inputs!$D$93,Inputs!$D$94)))))</f>
        <v>665.875852186398</v>
      </c>
      <c r="N45" s="42" t="n">
        <f aca="false">IF(N$6=2027,Inputs!$D$90,M45*(1+IF(N$6=2028,Inputs!$D$91,IF(N$6=2029,Inputs!$D$92,IF(N$6=2030,Inputs!$D$93,Inputs!$D$94)))))</f>
        <v>689.181507012922</v>
      </c>
      <c r="O45" s="42" t="n">
        <f aca="false">IF(O$6=2027,Inputs!$D$90,N45*(1+IF(O$6=2028,Inputs!$D$91,IF(O$6=2029,Inputs!$D$92,IF(O$6=2030,Inputs!$D$93,Inputs!$D$94)))))</f>
        <v>713.302859758374</v>
      </c>
      <c r="P45" s="42" t="n">
        <f aca="false">IF(P$6=2027,Inputs!$D$90,O45*(1+IF(P$6=2028,Inputs!$D$91,IF(P$6=2029,Inputs!$D$92,IF(P$6=2030,Inputs!$D$93,Inputs!$D$94)))))</f>
        <v>738.268459849917</v>
      </c>
      <c r="Q45" s="42" t="n">
        <f aca="false">IF(Q$6=2027,Inputs!$D$90,P45*(1+IF(Q$6=2028,Inputs!$D$91,IF(Q$6=2029,Inputs!$D$92,IF(Q$6=2030,Inputs!$D$93,Inputs!$D$94)))))</f>
        <v>764.107855944664</v>
      </c>
      <c r="R45" s="42" t="n">
        <f aca="false">IF(R$6=2027,Inputs!$D$90,Q45*(1+IF(R$6=2028,Inputs!$D$91,IF(R$6=2029,Inputs!$D$92,IF(R$6=2030,Inputs!$D$93,Inputs!$D$94)))))</f>
        <v>790.851630902728</v>
      </c>
    </row>
    <row r="46" customFormat="false" ht="15" hidden="false" customHeight="false" outlineLevel="0" collapsed="false">
      <c r="A46" s="7" t="s">
        <v>611</v>
      </c>
      <c r="B46" s="17" t="s">
        <v>116</v>
      </c>
      <c r="D46" s="42" t="n">
        <f aca="false">D17*Inputs!$D$48*D7</f>
        <v>9.5</v>
      </c>
      <c r="E46" s="42" t="n">
        <f aca="false">E17*Inputs!$D$48*E7</f>
        <v>45</v>
      </c>
      <c r="F46" s="42" t="n">
        <f aca="false">F17*Inputs!$D$48*F7</f>
        <v>75</v>
      </c>
      <c r="G46" s="42" t="n">
        <f aca="false">G17*Inputs!$D$48*G7</f>
        <v>90</v>
      </c>
      <c r="H46" s="42" t="n">
        <f aca="false">H17*Inputs!$D$48*H7</f>
        <v>90</v>
      </c>
      <c r="I46" s="42" t="n">
        <f aca="false">I17*Inputs!$D$48*I7</f>
        <v>90</v>
      </c>
      <c r="J46" s="42" t="n">
        <f aca="false">J17*Inputs!$D$48*J7</f>
        <v>90</v>
      </c>
      <c r="K46" s="42" t="n">
        <f aca="false">K17*Inputs!$D$48*K7</f>
        <v>90</v>
      </c>
      <c r="L46" s="42" t="n">
        <f aca="false">L17*Inputs!$D$48*L7</f>
        <v>90</v>
      </c>
      <c r="M46" s="42" t="n">
        <f aca="false">M17*Inputs!$D$48*M7</f>
        <v>90</v>
      </c>
      <c r="N46" s="42" t="n">
        <f aca="false">N17*Inputs!$D$48*N7</f>
        <v>90</v>
      </c>
      <c r="O46" s="42" t="n">
        <f aca="false">O17*Inputs!$D$48*O7</f>
        <v>90</v>
      </c>
      <c r="P46" s="42" t="n">
        <f aca="false">P17*Inputs!$D$48*P7</f>
        <v>90</v>
      </c>
      <c r="Q46" s="42" t="n">
        <f aca="false">Q17*Inputs!$D$48*Q7</f>
        <v>90</v>
      </c>
      <c r="R46" s="42" t="n">
        <f aca="false">R17*Inputs!$D$48*R7</f>
        <v>90</v>
      </c>
    </row>
    <row r="47" customFormat="false" ht="15" hidden="false" customHeight="false" outlineLevel="0" collapsed="false">
      <c r="A47" s="7" t="s">
        <v>612</v>
      </c>
      <c r="B47" s="17" t="s">
        <v>116</v>
      </c>
      <c r="D47" s="16" t="n">
        <f aca="false">Inputs!$D$95</f>
        <v>125</v>
      </c>
      <c r="E47" s="42" t="n">
        <f aca="false">MAX(Inputs!$D$96*(1-Inputs!$D$97)^MAX(0,E$6-2027),Inputs!$D$98*E37)</f>
        <v>250</v>
      </c>
      <c r="F47" s="42" t="n">
        <f aca="false">MAX(Inputs!$D$96*(1-Inputs!$D$97)^MAX(0,F$6-2027),Inputs!$D$98*F37)</f>
        <v>230</v>
      </c>
      <c r="G47" s="42" t="n">
        <f aca="false">MAX(Inputs!$D$96*(1-Inputs!$D$97)^MAX(0,G$6-2027),Inputs!$D$98*G37)</f>
        <v>211.6</v>
      </c>
      <c r="H47" s="42" t="n">
        <f aca="false">MAX(Inputs!$D$96*(1-Inputs!$D$97)^MAX(0,H$6-2027),Inputs!$D$98*H37)</f>
        <v>194.672</v>
      </c>
      <c r="I47" s="42" t="n">
        <f aca="false">MAX(Inputs!$D$96*(1-Inputs!$D$97)^MAX(0,I$6-2027),Inputs!$D$98*I37)</f>
        <v>179.09824</v>
      </c>
      <c r="J47" s="42" t="n">
        <f aca="false">MAX(Inputs!$D$96*(1-Inputs!$D$97)^MAX(0,J$6-2027),Inputs!$D$98*J37)</f>
        <v>164.7703808</v>
      </c>
      <c r="K47" s="42" t="n">
        <f aca="false">MAX(Inputs!$D$96*(1-Inputs!$D$97)^MAX(0,K$6-2027),Inputs!$D$98*K37)</f>
        <v>151.588750336</v>
      </c>
      <c r="L47" s="42" t="n">
        <f aca="false">MAX(Inputs!$D$96*(1-Inputs!$D$97)^MAX(0,L$6-2027),Inputs!$D$98*L37)</f>
        <v>139.46165030912</v>
      </c>
      <c r="M47" s="42" t="n">
        <f aca="false">MAX(Inputs!$D$96*(1-Inputs!$D$97)^MAX(0,M$6-2027),Inputs!$D$98*M37)</f>
        <v>128.30471828439</v>
      </c>
      <c r="N47" s="42" t="n">
        <f aca="false">MAX(Inputs!$D$96*(1-Inputs!$D$97)^MAX(0,N$6-2027),Inputs!$D$98*N37)</f>
        <v>118.040340821639</v>
      </c>
      <c r="O47" s="42" t="n">
        <f aca="false">MAX(Inputs!$D$96*(1-Inputs!$D$97)^MAX(0,O$6-2027),Inputs!$D$98*O37)</f>
        <v>108.597113555908</v>
      </c>
      <c r="P47" s="42" t="n">
        <f aca="false">MAX(Inputs!$D$96*(1-Inputs!$D$97)^MAX(0,P$6-2027),Inputs!$D$98*P37)</f>
        <v>99.9093444714355</v>
      </c>
      <c r="Q47" s="42" t="n">
        <f aca="false">MAX(Inputs!$D$96*(1-Inputs!$D$97)^MAX(0,Q$6-2027),Inputs!$D$98*Q37)</f>
        <v>91.9165969137206</v>
      </c>
      <c r="R47" s="42" t="n">
        <f aca="false">MAX(Inputs!$D$96*(1-Inputs!$D$97)^MAX(0,R$6-2027),Inputs!$D$98*R37)</f>
        <v>84.563269160623</v>
      </c>
    </row>
    <row r="48" customFormat="false" ht="15" hidden="false" customHeight="false" outlineLevel="0" collapsed="false">
      <c r="A48" s="3" t="s">
        <v>613</v>
      </c>
      <c r="B48" s="17" t="s">
        <v>116</v>
      </c>
      <c r="D48" s="55" t="n">
        <f aca="false">SUM(D41:D47)</f>
        <v>428.25</v>
      </c>
      <c r="E48" s="55" t="n">
        <f aca="false">SUM(E41:E47)</f>
        <v>953</v>
      </c>
      <c r="F48" s="55" t="n">
        <f aca="false">SUM(F41:F47)</f>
        <v>979.9</v>
      </c>
      <c r="G48" s="55" t="n">
        <f aca="false">SUM(G41:G47)</f>
        <v>1003.70367698136</v>
      </c>
      <c r="H48" s="55" t="n">
        <f aca="false">SUM(H41:H47)</f>
        <v>1013.15615961471</v>
      </c>
      <c r="I48" s="55" t="n">
        <f aca="false">SUM(I41:I47)</f>
        <v>1028.69739862361</v>
      </c>
      <c r="J48" s="55" t="n">
        <f aca="false">SUM(J41:J47)</f>
        <v>1050.40375784595</v>
      </c>
      <c r="K48" s="55" t="n">
        <f aca="false">SUM(K41:K47)</f>
        <v>1078.04676385058</v>
      </c>
      <c r="L48" s="55" t="n">
        <f aca="false">SUM(L41:L47)</f>
        <v>1106.19583783152</v>
      </c>
      <c r="M48" s="55" t="n">
        <f aca="false">SUM(M41:M47)</f>
        <v>1131.92547591885</v>
      </c>
      <c r="N48" s="55" t="n">
        <f aca="false">SUM(N41:N47)</f>
        <v>1155.10683360067</v>
      </c>
      <c r="O48" s="55" t="n">
        <f aca="false">SUM(O41:O47)</f>
        <v>1176.97334740423</v>
      </c>
      <c r="P48" s="55" t="n">
        <f aca="false">SUM(P41:P47)</f>
        <v>1198.74232757834</v>
      </c>
      <c r="Q48" s="55" t="n">
        <f aca="false">SUM(Q41:Q47)</f>
        <v>1221.21134987861</v>
      </c>
      <c r="R48" s="55" t="n">
        <f aca="false">SUM(R41:R47)</f>
        <v>1244.8228835255</v>
      </c>
    </row>
    <row r="49" customFormat="false" ht="15" hidden="false" customHeight="false" outlineLevel="0" collapsed="false">
      <c r="A49" s="3" t="s">
        <v>614</v>
      </c>
      <c r="B49" s="17" t="s">
        <v>116</v>
      </c>
      <c r="D49" s="55" t="n">
        <f aca="false">D37-D48</f>
        <v>-323.25</v>
      </c>
      <c r="E49" s="55" t="n">
        <f aca="false">E37-E48</f>
        <v>-833</v>
      </c>
      <c r="F49" s="55" t="n">
        <f aca="false">F37-F48</f>
        <v>-869.9</v>
      </c>
      <c r="G49" s="55" t="n">
        <f aca="false">G37-G48</f>
        <v>-853.238804862716</v>
      </c>
      <c r="H49" s="55" t="n">
        <f aca="false">H37-H48</f>
        <v>-816.29749508856</v>
      </c>
      <c r="I49" s="55" t="n">
        <f aca="false">I37-I48</f>
        <v>-769.881717381331</v>
      </c>
      <c r="J49" s="55" t="n">
        <f aca="false">J37-J48</f>
        <v>-706.155372923987</v>
      </c>
      <c r="K49" s="55" t="n">
        <f aca="false">K37-K48</f>
        <v>-625.739850611803</v>
      </c>
      <c r="L49" s="55" t="n">
        <f aca="false">L37-L48</f>
        <v>-553.004007213785</v>
      </c>
      <c r="M49" s="55" t="n">
        <f aca="false">M37-M48</f>
        <v>-500.950299287417</v>
      </c>
      <c r="N49" s="55" t="n">
        <f aca="false">N37-N48</f>
        <v>-469.883363386101</v>
      </c>
      <c r="O49" s="55" t="n">
        <f aca="false">O37-O48</f>
        <v>-453.941582182529</v>
      </c>
      <c r="P49" s="55" t="n">
        <f aca="false">P37-P48</f>
        <v>-447.373917689728</v>
      </c>
      <c r="Q49" s="55" t="n">
        <f aca="false">Q37-Q48</f>
        <v>-446.376220136122</v>
      </c>
      <c r="R49" s="55" t="n">
        <f aca="false">R37-R48</f>
        <v>-448.794670624181</v>
      </c>
      <c r="S49" s="54" t="n">
        <f aca="false">R49*(1+Inputs!$D$20)</f>
        <v>-460.014537389785</v>
      </c>
    </row>
    <row r="50" customFormat="false" ht="15" hidden="false" customHeight="false" outlineLevel="0" collapsed="false">
      <c r="A50" s="7" t="s">
        <v>615</v>
      </c>
      <c r="B50" s="17" t="s">
        <v>68</v>
      </c>
      <c r="D50" s="41" t="n">
        <f aca="false">IF(D37=0,0,D49/D37)</f>
        <v>-3.07857142857143</v>
      </c>
      <c r="E50" s="41" t="n">
        <f aca="false">IF(E37=0,0,E49/E37)</f>
        <v>-6.94166666666667</v>
      </c>
      <c r="F50" s="41" t="n">
        <f aca="false">IF(F37=0,0,F49/F37)</f>
        <v>-7.90818181818182</v>
      </c>
      <c r="G50" s="41" t="n">
        <f aca="false">IF(G37=0,0,G49/G37)</f>
        <v>-5.6706844119068</v>
      </c>
      <c r="H50" s="41" t="n">
        <f aca="false">IF(H37=0,0,H49/H37)</f>
        <v>-4.14661705164691</v>
      </c>
      <c r="I50" s="41" t="n">
        <f aca="false">IF(I37=0,0,I49/I37)</f>
        <v>-2.97463319720816</v>
      </c>
      <c r="J50" s="41" t="n">
        <f aca="false">IF(J37=0,0,J49/J37)</f>
        <v>-2.05129611017363</v>
      </c>
      <c r="K50" s="41" t="n">
        <f aca="false">IF(K37=0,0,K49/K37)</f>
        <v>-1.38344082811193</v>
      </c>
      <c r="L50" s="41" t="n">
        <f aca="false">IF(L37=0,0,L49/L37)</f>
        <v>-0.999660473286929</v>
      </c>
      <c r="M50" s="41" t="n">
        <f aca="false">IF(M37=0,0,M49/M37)</f>
        <v>-0.793930281000638</v>
      </c>
      <c r="N50" s="41" t="n">
        <f aca="false">IF(N37=0,0,N49/N37)</f>
        <v>-0.685737403651633</v>
      </c>
      <c r="O50" s="41" t="n">
        <f aca="false">IF(O37=0,0,O49/O37)</f>
        <v>-0.62783075933509</v>
      </c>
      <c r="P50" s="41" t="n">
        <f aca="false">IF(P37=0,0,P49/P37)</f>
        <v>-0.595412199663875</v>
      </c>
      <c r="Q50" s="41" t="n">
        <f aca="false">IF(Q37=0,0,Q49/Q37)</f>
        <v>-0.576091871679167</v>
      </c>
      <c r="R50" s="41" t="n">
        <f aca="false">IF(R37=0,0,R49/R37)</f>
        <v>-0.563792417593391</v>
      </c>
    </row>
    <row r="51" customFormat="false" ht="15" hidden="false" customHeight="false" outlineLevel="0" collapsed="false">
      <c r="A51" s="5" t="s">
        <v>616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customFormat="false" ht="15" hidden="false" customHeight="false" outlineLevel="0" collapsed="false">
      <c r="A52" s="7" t="s">
        <v>617</v>
      </c>
      <c r="B52" s="17" t="s">
        <v>116</v>
      </c>
      <c r="D52" s="42" t="n">
        <f aca="false">IF(D$6=2026,Inputs!$D$100,IF(D$6=2027,Inputs!$D$101,IF(D$6=2028,Inputs!$D$102,MAX(Inputs!$D$104,Inputs!$D$103*D37))))</f>
        <v>180</v>
      </c>
      <c r="E52" s="42" t="n">
        <f aca="false">IF(E$6=2026,Inputs!$D$100,IF(E$6=2027,Inputs!$D$101,IF(E$6=2028,Inputs!$D$102,MAX(Inputs!$D$104,Inputs!$D$103*E37))))</f>
        <v>250</v>
      </c>
      <c r="F52" s="42" t="n">
        <f aca="false">IF(F$6=2026,Inputs!$D$100,IF(F$6=2027,Inputs!$D$101,IF(F$6=2028,Inputs!$D$102,MAX(Inputs!$D$104,Inputs!$D$103*F37))))</f>
        <v>150</v>
      </c>
      <c r="G52" s="42" t="n">
        <f aca="false">IF(G$6=2026,Inputs!$D$100,IF(G$6=2027,Inputs!$D$101,IF(G$6=2028,Inputs!$D$102,MAX(Inputs!$D$104,Inputs!$D$103*G37))))</f>
        <v>60</v>
      </c>
      <c r="H52" s="42" t="n">
        <f aca="false">IF(H$6=2026,Inputs!$D$100,IF(H$6=2027,Inputs!$D$101,IF(H$6=2028,Inputs!$D$102,MAX(Inputs!$D$104,Inputs!$D$103*H37))))</f>
        <v>60</v>
      </c>
      <c r="I52" s="42" t="n">
        <f aca="false">IF(I$6=2026,Inputs!$D$100,IF(I$6=2027,Inputs!$D$101,IF(I$6=2028,Inputs!$D$102,MAX(Inputs!$D$104,Inputs!$D$103*I37))))</f>
        <v>60</v>
      </c>
      <c r="J52" s="42" t="n">
        <f aca="false">IF(J$6=2026,Inputs!$D$100,IF(J$6=2027,Inputs!$D$101,IF(J$6=2028,Inputs!$D$102,MAX(Inputs!$D$104,Inputs!$D$103*J37))))</f>
        <v>60</v>
      </c>
      <c r="K52" s="42" t="n">
        <f aca="false">IF(K$6=2026,Inputs!$D$100,IF(K$6=2027,Inputs!$D$101,IF(K$6=2028,Inputs!$D$102,MAX(Inputs!$D$104,Inputs!$D$103*K37))))</f>
        <v>60</v>
      </c>
      <c r="L52" s="42" t="n">
        <f aca="false">IF(L$6=2026,Inputs!$D$100,IF(L$6=2027,Inputs!$D$101,IF(L$6=2028,Inputs!$D$102,MAX(Inputs!$D$104,Inputs!$D$103*L37))))</f>
        <v>60</v>
      </c>
      <c r="M52" s="42" t="n">
        <f aca="false">IF(M$6=2026,Inputs!$D$100,IF(M$6=2027,Inputs!$D$101,IF(M$6=2028,Inputs!$D$102,MAX(Inputs!$D$104,Inputs!$D$103*M37))))</f>
        <v>60</v>
      </c>
      <c r="N52" s="42" t="n">
        <f aca="false">IF(N$6=2026,Inputs!$D$100,IF(N$6=2027,Inputs!$D$101,IF(N$6=2028,Inputs!$D$102,MAX(Inputs!$D$104,Inputs!$D$103*N37))))</f>
        <v>60</v>
      </c>
      <c r="O52" s="42" t="n">
        <f aca="false">IF(O$6=2026,Inputs!$D$100,IF(O$6=2027,Inputs!$D$101,IF(O$6=2028,Inputs!$D$102,MAX(Inputs!$D$104,Inputs!$D$103*O37))))</f>
        <v>60</v>
      </c>
      <c r="P52" s="42" t="n">
        <f aca="false">IF(P$6=2026,Inputs!$D$100,IF(P$6=2027,Inputs!$D$101,IF(P$6=2028,Inputs!$D$102,MAX(Inputs!$D$104,Inputs!$D$103*P37))))</f>
        <v>60</v>
      </c>
      <c r="Q52" s="42" t="n">
        <f aca="false">IF(Q$6=2026,Inputs!$D$100,IF(Q$6=2027,Inputs!$D$101,IF(Q$6=2028,Inputs!$D$102,MAX(Inputs!$D$104,Inputs!$D$103*Q37))))</f>
        <v>60</v>
      </c>
      <c r="R52" s="42" t="n">
        <f aca="false">IF(R$6=2026,Inputs!$D$100,IF(R$6=2027,Inputs!$D$101,IF(R$6=2028,Inputs!$D$102,MAX(Inputs!$D$104,Inputs!$D$103*R37))))</f>
        <v>60</v>
      </c>
    </row>
    <row r="53" customFormat="false" ht="15" hidden="false" customHeight="false" outlineLevel="0" collapsed="false">
      <c r="A53" s="7" t="s">
        <v>180</v>
      </c>
      <c r="B53" s="17" t="s">
        <v>116</v>
      </c>
      <c r="D53" s="16" t="n">
        <f aca="false">IF(D$6=Inputs!$D$45,Inputs!$D$44,0)</f>
        <v>0</v>
      </c>
      <c r="E53" s="16" t="n">
        <f aca="false">IF(E$6=Inputs!$D$45,Inputs!$D$44,0)</f>
        <v>550</v>
      </c>
      <c r="F53" s="16" t="n">
        <f aca="false">IF(F$6=Inputs!$D$45,Inputs!$D$44,0)</f>
        <v>0</v>
      </c>
      <c r="G53" s="16" t="n">
        <f aca="false">IF(G$6=Inputs!$D$45,Inputs!$D$44,0)</f>
        <v>0</v>
      </c>
      <c r="H53" s="16" t="n">
        <f aca="false">IF(H$6=Inputs!$D$45,Inputs!$D$44,0)</f>
        <v>0</v>
      </c>
      <c r="I53" s="16" t="n">
        <f aca="false">IF(I$6=Inputs!$D$45,Inputs!$D$44,0)</f>
        <v>0</v>
      </c>
      <c r="J53" s="16" t="n">
        <f aca="false">IF(J$6=Inputs!$D$45,Inputs!$D$44,0)</f>
        <v>0</v>
      </c>
      <c r="K53" s="16" t="n">
        <f aca="false">IF(K$6=Inputs!$D$45,Inputs!$D$44,0)</f>
        <v>0</v>
      </c>
      <c r="L53" s="16" t="n">
        <f aca="false">IF(L$6=Inputs!$D$45,Inputs!$D$44,0)</f>
        <v>0</v>
      </c>
      <c r="M53" s="16" t="n">
        <f aca="false">IF(M$6=Inputs!$D$45,Inputs!$D$44,0)</f>
        <v>0</v>
      </c>
      <c r="N53" s="16" t="n">
        <f aca="false">IF(N$6=Inputs!$D$45,Inputs!$D$44,0)</f>
        <v>0</v>
      </c>
      <c r="O53" s="16" t="n">
        <f aca="false">IF(O$6=Inputs!$D$45,Inputs!$D$44,0)</f>
        <v>0</v>
      </c>
      <c r="P53" s="16" t="n">
        <f aca="false">IF(P$6=Inputs!$D$45,Inputs!$D$44,0)</f>
        <v>0</v>
      </c>
      <c r="Q53" s="16" t="n">
        <f aca="false">IF(Q$6=Inputs!$D$45,Inputs!$D$44,0)</f>
        <v>0</v>
      </c>
      <c r="R53" s="16" t="n">
        <f aca="false">IF(R$6=Inputs!$D$45,Inputs!$D$44,0)</f>
        <v>0</v>
      </c>
    </row>
    <row r="54" customFormat="false" ht="15" hidden="false" customHeight="false" outlineLevel="0" collapsed="false">
      <c r="A54" s="7" t="s">
        <v>618</v>
      </c>
      <c r="B54" s="17" t="s">
        <v>116</v>
      </c>
      <c r="D54" s="16" t="n">
        <f aca="false">IF(D$6=2028,Inputs!$D$105,0)</f>
        <v>0</v>
      </c>
      <c r="E54" s="16" t="n">
        <f aca="false">IF(E$6=2028,Inputs!$D$105,0)</f>
        <v>0</v>
      </c>
      <c r="F54" s="16" t="n">
        <f aca="false">IF(F$6=2028,Inputs!$D$105,0)</f>
        <v>0</v>
      </c>
      <c r="G54" s="16" t="n">
        <f aca="false">IF(G$6=2028,Inputs!$D$105,0)</f>
        <v>0</v>
      </c>
      <c r="H54" s="16" t="n">
        <f aca="false">IF(H$6=2028,Inputs!$D$105,0)</f>
        <v>0</v>
      </c>
      <c r="I54" s="16" t="n">
        <f aca="false">IF(I$6=2028,Inputs!$D$105,0)</f>
        <v>0</v>
      </c>
      <c r="J54" s="16" t="n">
        <f aca="false">IF(J$6=2028,Inputs!$D$105,0)</f>
        <v>0</v>
      </c>
      <c r="K54" s="16" t="n">
        <f aca="false">IF(K$6=2028,Inputs!$D$105,0)</f>
        <v>0</v>
      </c>
      <c r="L54" s="16" t="n">
        <f aca="false">IF(L$6=2028,Inputs!$D$105,0)</f>
        <v>0</v>
      </c>
      <c r="M54" s="16" t="n">
        <f aca="false">IF(M$6=2028,Inputs!$D$105,0)</f>
        <v>0</v>
      </c>
      <c r="N54" s="16" t="n">
        <f aca="false">IF(N$6=2028,Inputs!$D$105,0)</f>
        <v>0</v>
      </c>
      <c r="O54" s="16" t="n">
        <f aca="false">IF(O$6=2028,Inputs!$D$105,0)</f>
        <v>0</v>
      </c>
      <c r="P54" s="16" t="n">
        <f aca="false">IF(P$6=2028,Inputs!$D$105,0)</f>
        <v>0</v>
      </c>
      <c r="Q54" s="16" t="n">
        <f aca="false">IF(Q$6=2028,Inputs!$D$105,0)</f>
        <v>0</v>
      </c>
      <c r="R54" s="16" t="n">
        <f aca="false">IF(R$6=2028,Inputs!$D$105,0)</f>
        <v>0</v>
      </c>
    </row>
    <row r="55" customFormat="false" ht="15" hidden="false" customHeight="false" outlineLevel="0" collapsed="false">
      <c r="A55" s="5" t="s">
        <v>619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customFormat="false" ht="15" hidden="false" customHeight="false" outlineLevel="0" collapsed="false">
      <c r="A56" s="7" t="s">
        <v>620</v>
      </c>
      <c r="B56" s="17" t="s">
        <v>116</v>
      </c>
      <c r="D56" s="42" t="n">
        <f aca="false">D19+D52</f>
        <v>469.473684210526</v>
      </c>
      <c r="E56" s="42" t="n">
        <f aca="false">E19+E52</f>
        <v>644.736842105263</v>
      </c>
      <c r="F56" s="42" t="n">
        <f aca="false">F19+F52</f>
        <v>544.736842105263</v>
      </c>
      <c r="G56" s="42" t="n">
        <f aca="false">G19+G52</f>
        <v>60</v>
      </c>
      <c r="H56" s="42" t="n">
        <f aca="false">H19+H52</f>
        <v>60</v>
      </c>
      <c r="I56" s="42" t="n">
        <f aca="false">I19+I52</f>
        <v>60</v>
      </c>
      <c r="J56" s="42" t="n">
        <f aca="false">J19+J52</f>
        <v>60</v>
      </c>
      <c r="K56" s="42" t="n">
        <f aca="false">K19+K52</f>
        <v>506.608505088404</v>
      </c>
      <c r="L56" s="42" t="n">
        <f aca="false">L19+L52</f>
        <v>517.773717715615</v>
      </c>
      <c r="M56" s="42" t="n">
        <f aca="false">M19+M52</f>
        <v>529.218060658505</v>
      </c>
      <c r="N56" s="42" t="n">
        <f aca="false">N19+N52</f>
        <v>60</v>
      </c>
      <c r="O56" s="42" t="n">
        <f aca="false">O19+O52</f>
        <v>60</v>
      </c>
      <c r="P56" s="42" t="n">
        <f aca="false">P19+P52</f>
        <v>60</v>
      </c>
      <c r="Q56" s="42" t="n">
        <f aca="false">Q19+Q52</f>
        <v>60</v>
      </c>
      <c r="R56" s="42" t="n">
        <f aca="false">R19+R52</f>
        <v>590.877167465644</v>
      </c>
    </row>
    <row r="57" customFormat="false" ht="15" hidden="false" customHeight="false" outlineLevel="0" collapsed="false">
      <c r="A57" s="7" t="s">
        <v>621</v>
      </c>
      <c r="B57" s="17" t="s">
        <v>116</v>
      </c>
      <c r="D57" s="42" t="n">
        <f aca="false">IF(Inputs!$D$25=1,D56,SUMIFS($D$56:D56,$D$6:D6,"&gt;"&amp;(D$6-ROUND(Inputs!$D$26,0)))/ROUND(Inputs!$D$26,0)*D7)</f>
        <v>469.473684210526</v>
      </c>
      <c r="E57" s="42" t="n">
        <f aca="false">IF(Inputs!$D$25=1,E56,SUMIFS($D$56:E56,$D$6:E6,"&gt;"&amp;(E$6-ROUND(Inputs!$D$26,0)))/ROUND(Inputs!$D$26,0)*E7)</f>
        <v>644.736842105263</v>
      </c>
      <c r="F57" s="42" t="n">
        <f aca="false">IF(Inputs!$D$25=1,F56,SUMIFS($D$56:F56,$D$6:F6,"&gt;"&amp;(F$6-ROUND(Inputs!$D$26,0)))/ROUND(Inputs!$D$26,0)*F7)</f>
        <v>544.736842105263</v>
      </c>
      <c r="G57" s="42" t="n">
        <f aca="false">IF(Inputs!$D$25=1,G56,SUMIFS($D$56:G56,$D$6:G6,"&gt;"&amp;(G$6-ROUND(Inputs!$D$26,0)))/ROUND(Inputs!$D$26,0)*G7)</f>
        <v>60</v>
      </c>
      <c r="H57" s="42" t="n">
        <f aca="false">IF(Inputs!$D$25=1,H56,SUMIFS($D$56:H56,$D$6:H6,"&gt;"&amp;(H$6-ROUND(Inputs!$D$26,0)))/ROUND(Inputs!$D$26,0)*H7)</f>
        <v>60</v>
      </c>
      <c r="I57" s="42" t="n">
        <f aca="false">IF(Inputs!$D$25=1,I56,SUMIFS($D$56:I56,$D$6:I6,"&gt;"&amp;(I$6-ROUND(Inputs!$D$26,0)))/ROUND(Inputs!$D$26,0)*I7)</f>
        <v>60</v>
      </c>
      <c r="J57" s="42" t="n">
        <f aca="false">IF(Inputs!$D$25=1,J56,SUMIFS($D$56:J56,$D$6:J6,"&gt;"&amp;(J$6-ROUND(Inputs!$D$26,0)))/ROUND(Inputs!$D$26,0)*J7)</f>
        <v>60</v>
      </c>
      <c r="K57" s="42" t="n">
        <f aca="false">IF(Inputs!$D$25=1,K56,SUMIFS($D$56:K56,$D$6:K6,"&gt;"&amp;(K$6-ROUND(Inputs!$D$26,0)))/ROUND(Inputs!$D$26,0)*K7)</f>
        <v>506.608505088404</v>
      </c>
      <c r="L57" s="42" t="n">
        <f aca="false">IF(Inputs!$D$25=1,L56,SUMIFS($D$56:L56,$D$6:L6,"&gt;"&amp;(L$6-ROUND(Inputs!$D$26,0)))/ROUND(Inputs!$D$26,0)*L7)</f>
        <v>517.773717715615</v>
      </c>
      <c r="M57" s="42" t="n">
        <f aca="false">IF(Inputs!$D$25=1,M56,SUMIFS($D$56:M56,$D$6:M6,"&gt;"&amp;(M$6-ROUND(Inputs!$D$26,0)))/ROUND(Inputs!$D$26,0)*M7)</f>
        <v>529.218060658505</v>
      </c>
      <c r="N57" s="42" t="n">
        <f aca="false">IF(Inputs!$D$25=1,N56,SUMIFS($D$56:N56,$D$6:N6,"&gt;"&amp;(N$6-ROUND(Inputs!$D$26,0)))/ROUND(Inputs!$D$26,0)*N7)</f>
        <v>60</v>
      </c>
      <c r="O57" s="42" t="n">
        <f aca="false">IF(Inputs!$D$25=1,O56,SUMIFS($D$56:O56,$D$6:O6,"&gt;"&amp;(O$6-ROUND(Inputs!$D$26,0)))/ROUND(Inputs!$D$26,0)*O7)</f>
        <v>60</v>
      </c>
      <c r="P57" s="42" t="n">
        <f aca="false">IF(Inputs!$D$25=1,P56,SUMIFS($D$56:P56,$D$6:P6,"&gt;"&amp;(P$6-ROUND(Inputs!$D$26,0)))/ROUND(Inputs!$D$26,0)*P7)</f>
        <v>60</v>
      </c>
      <c r="Q57" s="42" t="n">
        <f aca="false">IF(Inputs!$D$25=1,Q56,SUMIFS($D$56:Q56,$D$6:Q6,"&gt;"&amp;(Q$6-ROUND(Inputs!$D$26,0)))/ROUND(Inputs!$D$26,0)*Q7)</f>
        <v>60</v>
      </c>
      <c r="R57" s="42" t="n">
        <f aca="false">IF(Inputs!$D$25=1,R56,SUMIFS($D$56:R56,$D$6:R6,"&gt;"&amp;(R$6-ROUND(Inputs!$D$26,0)))/ROUND(Inputs!$D$26,0)*R7)</f>
        <v>590.877167465644</v>
      </c>
    </row>
    <row r="58" customFormat="false" ht="15" hidden="false" customHeight="false" outlineLevel="0" collapsed="false">
      <c r="A58" s="7" t="s">
        <v>622</v>
      </c>
      <c r="B58" s="17" t="s">
        <v>116</v>
      </c>
      <c r="D58" s="42" t="n">
        <f aca="false">IF(AND(D$6&gt;=Inputs!$D$45,D$6&lt;Inputs!$D$45+15),Inputs!$D$44/15*D7,0)</f>
        <v>0</v>
      </c>
      <c r="E58" s="42" t="n">
        <f aca="false">IF(AND(E$6&gt;=Inputs!$D$45,E$6&lt;Inputs!$D$45+15),Inputs!$D$44/15*E7,0)</f>
        <v>36.6666666666667</v>
      </c>
      <c r="F58" s="42" t="n">
        <f aca="false">IF(AND(F$6&gt;=Inputs!$D$45,F$6&lt;Inputs!$D$45+15),Inputs!$D$44/15*F7,0)</f>
        <v>36.6666666666667</v>
      </c>
      <c r="G58" s="42" t="n">
        <f aca="false">IF(AND(G$6&gt;=Inputs!$D$45,G$6&lt;Inputs!$D$45+15),Inputs!$D$44/15*G7,0)</f>
        <v>36.6666666666667</v>
      </c>
      <c r="H58" s="42" t="n">
        <f aca="false">IF(AND(H$6&gt;=Inputs!$D$45,H$6&lt;Inputs!$D$45+15),Inputs!$D$44/15*H7,0)</f>
        <v>36.6666666666667</v>
      </c>
      <c r="I58" s="42" t="n">
        <f aca="false">IF(AND(I$6&gt;=Inputs!$D$45,I$6&lt;Inputs!$D$45+15),Inputs!$D$44/15*I7,0)</f>
        <v>36.6666666666667</v>
      </c>
      <c r="J58" s="42" t="n">
        <f aca="false">IF(AND(J$6&gt;=Inputs!$D$45,J$6&lt;Inputs!$D$45+15),Inputs!$D$44/15*J7,0)</f>
        <v>36.6666666666667</v>
      </c>
      <c r="K58" s="42" t="n">
        <f aca="false">IF(AND(K$6&gt;=Inputs!$D$45,K$6&lt;Inputs!$D$45+15),Inputs!$D$44/15*K7,0)</f>
        <v>36.6666666666667</v>
      </c>
      <c r="L58" s="42" t="n">
        <f aca="false">IF(AND(L$6&gt;=Inputs!$D$45,L$6&lt;Inputs!$D$45+15),Inputs!$D$44/15*L7,0)</f>
        <v>36.6666666666667</v>
      </c>
      <c r="M58" s="42" t="n">
        <f aca="false">IF(AND(M$6&gt;=Inputs!$D$45,M$6&lt;Inputs!$D$45+15),Inputs!$D$44/15*M7,0)</f>
        <v>36.6666666666667</v>
      </c>
      <c r="N58" s="42" t="n">
        <f aca="false">IF(AND(N$6&gt;=Inputs!$D$45,N$6&lt;Inputs!$D$45+15),Inputs!$D$44/15*N7,0)</f>
        <v>36.6666666666667</v>
      </c>
      <c r="O58" s="42" t="n">
        <f aca="false">IF(AND(O$6&gt;=Inputs!$D$45,O$6&lt;Inputs!$D$45+15),Inputs!$D$44/15*O7,0)</f>
        <v>36.6666666666667</v>
      </c>
      <c r="P58" s="42" t="n">
        <f aca="false">IF(AND(P$6&gt;=Inputs!$D$45,P$6&lt;Inputs!$D$45+15),Inputs!$D$44/15*P7,0)</f>
        <v>36.6666666666667</v>
      </c>
      <c r="Q58" s="42" t="n">
        <f aca="false">IF(AND(Q$6&gt;=Inputs!$D$45,Q$6&lt;Inputs!$D$45+15),Inputs!$D$44/15*Q7,0)</f>
        <v>36.6666666666667</v>
      </c>
      <c r="R58" s="42" t="n">
        <f aca="false">IF(AND(R$6&gt;=Inputs!$D$45,R$6&lt;Inputs!$D$45+15),Inputs!$D$44/15*R7,0)</f>
        <v>36.6666666666667</v>
      </c>
    </row>
    <row r="59" customFormat="false" ht="15" hidden="false" customHeight="false" outlineLevel="0" collapsed="false">
      <c r="A59" s="7" t="s">
        <v>623</v>
      </c>
      <c r="B59" s="17" t="s">
        <v>116</v>
      </c>
      <c r="D59" s="42" t="n">
        <f aca="false">D49-D57-D58</f>
        <v>-792.723684210526</v>
      </c>
      <c r="E59" s="42" t="n">
        <f aca="false">E49-E57-E58</f>
        <v>-1514.40350877193</v>
      </c>
      <c r="F59" s="42" t="n">
        <f aca="false">F49-F57-F58</f>
        <v>-1451.30350877193</v>
      </c>
      <c r="G59" s="42" t="n">
        <f aca="false">G49-G57-G58</f>
        <v>-949.905471529383</v>
      </c>
      <c r="H59" s="42" t="n">
        <f aca="false">H49-H57-H58</f>
        <v>-912.964161755226</v>
      </c>
      <c r="I59" s="42" t="n">
        <f aca="false">I49-I57-I58</f>
        <v>-866.548384047997</v>
      </c>
      <c r="J59" s="42" t="n">
        <f aca="false">J49-J57-J58</f>
        <v>-802.822039590653</v>
      </c>
      <c r="K59" s="42" t="n">
        <f aca="false">K49-K57-K58</f>
        <v>-1169.01502236687</v>
      </c>
      <c r="L59" s="42" t="n">
        <f aca="false">L49-L57-L58</f>
        <v>-1107.44439159607</v>
      </c>
      <c r="M59" s="42" t="n">
        <f aca="false">M49-M57-M58</f>
        <v>-1066.83502661259</v>
      </c>
      <c r="N59" s="42" t="n">
        <f aca="false">N49-N57-N58</f>
        <v>-566.550030052768</v>
      </c>
      <c r="O59" s="42" t="n">
        <f aca="false">O49-O57-O58</f>
        <v>-550.608248849195</v>
      </c>
      <c r="P59" s="42" t="n">
        <f aca="false">P49-P57-P58</f>
        <v>-544.040584356394</v>
      </c>
      <c r="Q59" s="42" t="n">
        <f aca="false">Q49-Q57-Q58</f>
        <v>-543.042886802788</v>
      </c>
      <c r="R59" s="42" t="n">
        <f aca="false">R49-R57-R58</f>
        <v>-1076.33850475649</v>
      </c>
    </row>
    <row r="60" customFormat="false" ht="15" hidden="false" customHeight="false" outlineLevel="0" collapsed="false">
      <c r="A60" s="7" t="s">
        <v>624</v>
      </c>
      <c r="B60" s="17" t="s">
        <v>116</v>
      </c>
      <c r="D60" s="16" t="n">
        <f aca="false">Inputs!$D$23</f>
        <v>1000</v>
      </c>
      <c r="E60" s="42" t="n">
        <f aca="false">D62</f>
        <v>1792.72368421053</v>
      </c>
      <c r="F60" s="42" t="n">
        <f aca="false">E62</f>
        <v>3307.12719298246</v>
      </c>
      <c r="G60" s="42" t="n">
        <f aca="false">F62</f>
        <v>4758.43070175439</v>
      </c>
      <c r="H60" s="42" t="n">
        <f aca="false">G62</f>
        <v>5708.33617328377</v>
      </c>
      <c r="I60" s="42" t="n">
        <f aca="false">H62</f>
        <v>6621.300335039</v>
      </c>
      <c r="J60" s="42" t="n">
        <f aca="false">I62</f>
        <v>7487.84871908699</v>
      </c>
      <c r="K60" s="42" t="n">
        <f aca="false">J62</f>
        <v>8290.67075867765</v>
      </c>
      <c r="L60" s="42" t="n">
        <f aca="false">K62</f>
        <v>9459.68578104452</v>
      </c>
      <c r="M60" s="42" t="n">
        <f aca="false">L62</f>
        <v>10567.1301726406</v>
      </c>
      <c r="N60" s="42" t="n">
        <f aca="false">M62</f>
        <v>11633.9651992532</v>
      </c>
      <c r="O60" s="42" t="n">
        <f aca="false">N62</f>
        <v>12200.5152293059</v>
      </c>
      <c r="P60" s="42" t="n">
        <f aca="false">O62</f>
        <v>12751.1234781551</v>
      </c>
      <c r="Q60" s="42" t="n">
        <f aca="false">P62</f>
        <v>13295.1640625115</v>
      </c>
      <c r="R60" s="42" t="n">
        <f aca="false">Q62</f>
        <v>13838.2069493143</v>
      </c>
    </row>
    <row r="61" customFormat="false" ht="15" hidden="false" customHeight="false" outlineLevel="0" collapsed="false">
      <c r="A61" s="7" t="s">
        <v>625</v>
      </c>
      <c r="B61" s="17" t="s">
        <v>116</v>
      </c>
      <c r="D61" s="42" t="n">
        <f aca="false">MIN(D60,MAX(0,D59)*Inputs!$D$24)</f>
        <v>0</v>
      </c>
      <c r="E61" s="42" t="n">
        <f aca="false">MIN(E60,MAX(0,E59)*Inputs!$D$24)</f>
        <v>0</v>
      </c>
      <c r="F61" s="42" t="n">
        <f aca="false">MIN(F60,MAX(0,F59)*Inputs!$D$24)</f>
        <v>0</v>
      </c>
      <c r="G61" s="42" t="n">
        <f aca="false">MIN(G60,MAX(0,G59)*Inputs!$D$24)</f>
        <v>0</v>
      </c>
      <c r="H61" s="42" t="n">
        <f aca="false">MIN(H60,MAX(0,H59)*Inputs!$D$24)</f>
        <v>0</v>
      </c>
      <c r="I61" s="42" t="n">
        <f aca="false">MIN(I60,MAX(0,I59)*Inputs!$D$24)</f>
        <v>0</v>
      </c>
      <c r="J61" s="42" t="n">
        <f aca="false">MIN(J60,MAX(0,J59)*Inputs!$D$24)</f>
        <v>0</v>
      </c>
      <c r="K61" s="42" t="n">
        <f aca="false">MIN(K60,MAX(0,K59)*Inputs!$D$24)</f>
        <v>0</v>
      </c>
      <c r="L61" s="42" t="n">
        <f aca="false">MIN(L60,MAX(0,L59)*Inputs!$D$24)</f>
        <v>0</v>
      </c>
      <c r="M61" s="42" t="n">
        <f aca="false">MIN(M60,MAX(0,M59)*Inputs!$D$24)</f>
        <v>0</v>
      </c>
      <c r="N61" s="42" t="n">
        <f aca="false">MIN(N60,MAX(0,N59)*Inputs!$D$24)</f>
        <v>0</v>
      </c>
      <c r="O61" s="42" t="n">
        <f aca="false">MIN(O60,MAX(0,O59)*Inputs!$D$24)</f>
        <v>0</v>
      </c>
      <c r="P61" s="42" t="n">
        <f aca="false">MIN(P60,MAX(0,P59)*Inputs!$D$24)</f>
        <v>0</v>
      </c>
      <c r="Q61" s="42" t="n">
        <f aca="false">MIN(Q60,MAX(0,Q59)*Inputs!$D$24)</f>
        <v>0</v>
      </c>
      <c r="R61" s="42" t="n">
        <f aca="false">MIN(R60,MAX(0,R59)*Inputs!$D$24)</f>
        <v>0</v>
      </c>
    </row>
    <row r="62" customFormat="false" ht="15" hidden="false" customHeight="false" outlineLevel="0" collapsed="false">
      <c r="A62" s="7" t="s">
        <v>626</v>
      </c>
      <c r="B62" s="17" t="s">
        <v>116</v>
      </c>
      <c r="D62" s="42" t="n">
        <f aca="false">D60-D61+MAX(0,-D59)</f>
        <v>1792.72368421053</v>
      </c>
      <c r="E62" s="42" t="n">
        <f aca="false">E60-E61+MAX(0,-E59)</f>
        <v>3307.12719298246</v>
      </c>
      <c r="F62" s="42" t="n">
        <f aca="false">F60-F61+MAX(0,-F59)</f>
        <v>4758.43070175439</v>
      </c>
      <c r="G62" s="42" t="n">
        <f aca="false">G60-G61+MAX(0,-G59)</f>
        <v>5708.33617328377</v>
      </c>
      <c r="H62" s="42" t="n">
        <f aca="false">H60-H61+MAX(0,-H59)</f>
        <v>6621.300335039</v>
      </c>
      <c r="I62" s="42" t="n">
        <f aca="false">I60-I61+MAX(0,-I59)</f>
        <v>7487.84871908699</v>
      </c>
      <c r="J62" s="42" t="n">
        <f aca="false">J60-J61+MAX(0,-J59)</f>
        <v>8290.67075867765</v>
      </c>
      <c r="K62" s="42" t="n">
        <f aca="false">K60-K61+MAX(0,-K59)</f>
        <v>9459.68578104452</v>
      </c>
      <c r="L62" s="42" t="n">
        <f aca="false">L60-L61+MAX(0,-L59)</f>
        <v>10567.1301726406</v>
      </c>
      <c r="M62" s="42" t="n">
        <f aca="false">M60-M61+MAX(0,-M59)</f>
        <v>11633.9651992532</v>
      </c>
      <c r="N62" s="42" t="n">
        <f aca="false">N60-N61+MAX(0,-N59)</f>
        <v>12200.5152293059</v>
      </c>
      <c r="O62" s="42" t="n">
        <f aca="false">O60-O61+MAX(0,-O59)</f>
        <v>12751.1234781551</v>
      </c>
      <c r="P62" s="42" t="n">
        <f aca="false">P60-P61+MAX(0,-P59)</f>
        <v>13295.1640625115</v>
      </c>
      <c r="Q62" s="42" t="n">
        <f aca="false">Q60-Q61+MAX(0,-Q59)</f>
        <v>13838.2069493143</v>
      </c>
      <c r="R62" s="42" t="n">
        <f aca="false">R60-R61+MAX(0,-R59)</f>
        <v>14914.5454540708</v>
      </c>
    </row>
    <row r="63" customFormat="false" ht="15" hidden="false" customHeight="false" outlineLevel="0" collapsed="false">
      <c r="A63" s="3" t="s">
        <v>627</v>
      </c>
      <c r="B63" s="17" t="s">
        <v>116</v>
      </c>
      <c r="D63" s="55" t="n">
        <f aca="false">Inputs!$D$22*MAX(0,D59-D61)</f>
        <v>0</v>
      </c>
      <c r="E63" s="55" t="n">
        <f aca="false">Inputs!$D$22*MAX(0,E59-E61)</f>
        <v>0</v>
      </c>
      <c r="F63" s="55" t="n">
        <f aca="false">Inputs!$D$22*MAX(0,F59-F61)</f>
        <v>0</v>
      </c>
      <c r="G63" s="55" t="n">
        <f aca="false">Inputs!$D$22*MAX(0,G59-G61)</f>
        <v>0</v>
      </c>
      <c r="H63" s="55" t="n">
        <f aca="false">Inputs!$D$22*MAX(0,H59-H61)</f>
        <v>0</v>
      </c>
      <c r="I63" s="55" t="n">
        <f aca="false">Inputs!$D$22*MAX(0,I59-I61)</f>
        <v>0</v>
      </c>
      <c r="J63" s="55" t="n">
        <f aca="false">Inputs!$D$22*MAX(0,J59-J61)</f>
        <v>0</v>
      </c>
      <c r="K63" s="55" t="n">
        <f aca="false">Inputs!$D$22*MAX(0,K59-K61)</f>
        <v>0</v>
      </c>
      <c r="L63" s="55" t="n">
        <f aca="false">Inputs!$D$22*MAX(0,L59-L61)</f>
        <v>0</v>
      </c>
      <c r="M63" s="55" t="n">
        <f aca="false">Inputs!$D$22*MAX(0,M59-M61)</f>
        <v>0</v>
      </c>
      <c r="N63" s="55" t="n">
        <f aca="false">Inputs!$D$22*MAX(0,N59-N61)</f>
        <v>0</v>
      </c>
      <c r="O63" s="55" t="n">
        <f aca="false">Inputs!$D$22*MAX(0,O59-O61)</f>
        <v>0</v>
      </c>
      <c r="P63" s="55" t="n">
        <f aca="false">Inputs!$D$22*MAX(0,P59-P61)</f>
        <v>0</v>
      </c>
      <c r="Q63" s="55" t="n">
        <f aca="false">Inputs!$D$22*MAX(0,Q59-Q61)</f>
        <v>0</v>
      </c>
      <c r="R63" s="55" t="n">
        <f aca="false">Inputs!$D$22*MAX(0,R59-R61)</f>
        <v>0</v>
      </c>
    </row>
    <row r="64" customFormat="false" ht="15" hidden="false" customHeight="false" outlineLevel="0" collapsed="false">
      <c r="A64" s="5" t="s">
        <v>628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customFormat="false" ht="15" hidden="false" customHeight="false" outlineLevel="0" collapsed="false">
      <c r="A65" s="7" t="s">
        <v>629</v>
      </c>
      <c r="B65" s="17" t="s">
        <v>116</v>
      </c>
      <c r="D65" s="42" t="n">
        <f aca="false">D37/D7</f>
        <v>210</v>
      </c>
      <c r="E65" s="42" t="n">
        <f aca="false">E37/E7</f>
        <v>120</v>
      </c>
      <c r="F65" s="42" t="n">
        <f aca="false">F37/F7</f>
        <v>110</v>
      </c>
      <c r="G65" s="42" t="n">
        <f aca="false">G37/G7</f>
        <v>150.464872118639</v>
      </c>
      <c r="H65" s="42" t="n">
        <f aca="false">H37/H7</f>
        <v>196.858664526147</v>
      </c>
      <c r="I65" s="42" t="n">
        <f aca="false">I37/I7</f>
        <v>258.81568124228</v>
      </c>
      <c r="J65" s="42" t="n">
        <f aca="false">J37/J7</f>
        <v>344.248384921968</v>
      </c>
      <c r="K65" s="42" t="n">
        <f aca="false">K37/K7</f>
        <v>452.306913238777</v>
      </c>
      <c r="L65" s="42" t="n">
        <f aca="false">L37/L7</f>
        <v>553.191830617733</v>
      </c>
      <c r="M65" s="42" t="n">
        <f aca="false">M37/M7</f>
        <v>630.975176631429</v>
      </c>
      <c r="N65" s="42" t="n">
        <f aca="false">N37/N7</f>
        <v>685.22347021457</v>
      </c>
      <c r="O65" s="42" t="n">
        <f aca="false">O37/O7</f>
        <v>723.031765221697</v>
      </c>
      <c r="P65" s="42" t="n">
        <f aca="false">P37/P7</f>
        <v>751.368409888614</v>
      </c>
      <c r="Q65" s="42" t="n">
        <f aca="false">Q37/Q7</f>
        <v>774.835129742491</v>
      </c>
      <c r="R65" s="42" t="n">
        <f aca="false">R37/R7</f>
        <v>796.028212901318</v>
      </c>
    </row>
    <row r="66" customFormat="false" ht="15" hidden="false" customHeight="false" outlineLevel="0" collapsed="false">
      <c r="A66" s="7" t="s">
        <v>630</v>
      </c>
      <c r="B66" s="17" t="s">
        <v>116</v>
      </c>
      <c r="D66" s="42" t="n">
        <f aca="false">Inputs!$D$42*(D65-Inputs!$D$43)</f>
        <v>5.8745</v>
      </c>
      <c r="E66" s="42" t="n">
        <f aca="false">Inputs!$D$42*(E65-D65)</f>
        <v>-4.5</v>
      </c>
      <c r="F66" s="42" t="n">
        <f aca="false">Inputs!$D$42*(F65-E65)</f>
        <v>-0.5</v>
      </c>
      <c r="G66" s="42" t="n">
        <f aca="false">Inputs!$D$42*(G65-F65)</f>
        <v>2.02324360593195</v>
      </c>
      <c r="H66" s="42" t="n">
        <f aca="false">Inputs!$D$42*(H65-G65)</f>
        <v>2.31968962037541</v>
      </c>
      <c r="I66" s="42" t="n">
        <f aca="false">Inputs!$D$42*(I65-H65)</f>
        <v>3.09785083580663</v>
      </c>
      <c r="J66" s="42" t="n">
        <f aca="false">Inputs!$D$42*(J65-I65)</f>
        <v>4.27163518398439</v>
      </c>
      <c r="K66" s="42" t="n">
        <f aca="false">Inputs!$D$42*(K65-J65)</f>
        <v>5.40292641584045</v>
      </c>
      <c r="L66" s="42" t="n">
        <f aca="false">Inputs!$D$42*(L65-K65)</f>
        <v>5.04424586894781</v>
      </c>
      <c r="M66" s="42" t="n">
        <f aca="false">Inputs!$D$42*(M65-L65)</f>
        <v>3.88916730068479</v>
      </c>
      <c r="N66" s="42" t="n">
        <f aca="false">Inputs!$D$42*(N65-M65)</f>
        <v>2.71241467915709</v>
      </c>
      <c r="O66" s="42" t="n">
        <f aca="false">Inputs!$D$42*(O65-N65)</f>
        <v>1.89041475035633</v>
      </c>
      <c r="P66" s="42" t="n">
        <f aca="false">Inputs!$D$42*(P65-O65)</f>
        <v>1.41683223334584</v>
      </c>
      <c r="Q66" s="42" t="n">
        <f aca="false">Inputs!$D$42*(Q65-P65)</f>
        <v>1.17333599269387</v>
      </c>
      <c r="R66" s="42" t="n">
        <f aca="false">Inputs!$D$42*(R65-Q65)</f>
        <v>1.05965415794133</v>
      </c>
    </row>
    <row r="67" customFormat="false" ht="15" hidden="false" customHeight="false" outlineLevel="0" collapsed="false">
      <c r="A67" s="7" t="s">
        <v>631</v>
      </c>
      <c r="B67" s="17" t="s">
        <v>116</v>
      </c>
      <c r="D67" s="42" t="n">
        <f aca="false">IF(AND(D$6&gt;=Inputs!$D$40,D$6&lt;Inputs!$D$40+Inputs!$D$41),Inputs!$D$39/Inputs!$D$41*D7,0)</f>
        <v>0</v>
      </c>
      <c r="E67" s="42" t="n">
        <f aca="false">IF(AND(E$6&gt;=Inputs!$D$40,E$6&lt;Inputs!$D$40+Inputs!$D$41),Inputs!$D$39/Inputs!$D$41*E7,0)</f>
        <v>53.3866</v>
      </c>
      <c r="F67" s="42" t="n">
        <f aca="false">IF(AND(F$6&gt;=Inputs!$D$40,F$6&lt;Inputs!$D$40+Inputs!$D$41),Inputs!$D$39/Inputs!$D$41*F7,0)</f>
        <v>53.3866</v>
      </c>
      <c r="G67" s="42" t="n">
        <f aca="false">IF(AND(G$6&gt;=Inputs!$D$40,G$6&lt;Inputs!$D$40+Inputs!$D$41),Inputs!$D$39/Inputs!$D$41*G7,0)</f>
        <v>53.3866</v>
      </c>
      <c r="H67" s="42" t="n">
        <f aca="false">IF(AND(H$6&gt;=Inputs!$D$40,H$6&lt;Inputs!$D$40+Inputs!$D$41),Inputs!$D$39/Inputs!$D$41*H7,0)</f>
        <v>53.3866</v>
      </c>
      <c r="I67" s="42" t="n">
        <f aca="false">IF(AND(I$6&gt;=Inputs!$D$40,I$6&lt;Inputs!$D$40+Inputs!$D$41),Inputs!$D$39/Inputs!$D$41*I7,0)</f>
        <v>53.3866</v>
      </c>
      <c r="J67" s="42" t="n">
        <f aca="false">IF(AND(J$6&gt;=Inputs!$D$40,J$6&lt;Inputs!$D$40+Inputs!$D$41),Inputs!$D$39/Inputs!$D$41*J7,0)</f>
        <v>0</v>
      </c>
      <c r="K67" s="42" t="n">
        <f aca="false">IF(AND(K$6&gt;=Inputs!$D$40,K$6&lt;Inputs!$D$40+Inputs!$D$41),Inputs!$D$39/Inputs!$D$41*K7,0)</f>
        <v>0</v>
      </c>
      <c r="L67" s="42" t="n">
        <f aca="false">IF(AND(L$6&gt;=Inputs!$D$40,L$6&lt;Inputs!$D$40+Inputs!$D$41),Inputs!$D$39/Inputs!$D$41*L7,0)</f>
        <v>0</v>
      </c>
      <c r="M67" s="42" t="n">
        <f aca="false">IF(AND(M$6&gt;=Inputs!$D$40,M$6&lt;Inputs!$D$40+Inputs!$D$41),Inputs!$D$39/Inputs!$D$41*M7,0)</f>
        <v>0</v>
      </c>
      <c r="N67" s="42" t="n">
        <f aca="false">IF(AND(N$6&gt;=Inputs!$D$40,N$6&lt;Inputs!$D$40+Inputs!$D$41),Inputs!$D$39/Inputs!$D$41*N7,0)</f>
        <v>0</v>
      </c>
      <c r="O67" s="42" t="n">
        <f aca="false">IF(AND(O$6&gt;=Inputs!$D$40,O$6&lt;Inputs!$D$40+Inputs!$D$41),Inputs!$D$39/Inputs!$D$41*O7,0)</f>
        <v>0</v>
      </c>
      <c r="P67" s="42" t="n">
        <f aca="false">IF(AND(P$6&gt;=Inputs!$D$40,P$6&lt;Inputs!$D$40+Inputs!$D$41),Inputs!$D$39/Inputs!$D$41*P7,0)</f>
        <v>0</v>
      </c>
      <c r="Q67" s="42" t="n">
        <f aca="false">IF(AND(Q$6&gt;=Inputs!$D$40,Q$6&lt;Inputs!$D$40+Inputs!$D$41),Inputs!$D$39/Inputs!$D$41*Q7,0)</f>
        <v>0</v>
      </c>
      <c r="R67" s="42" t="n">
        <f aca="false">IF(AND(R$6&gt;=Inputs!$D$40,R$6&lt;Inputs!$D$40+Inputs!$D$41),Inputs!$D$39/Inputs!$D$41*R7,0)</f>
        <v>0</v>
      </c>
    </row>
    <row r="68" customFormat="false" ht="15" hidden="false" customHeight="false" outlineLevel="0" collapsed="false">
      <c r="A68" s="3" t="s">
        <v>632</v>
      </c>
      <c r="B68" s="17" t="s">
        <v>116</v>
      </c>
      <c r="D68" s="55" t="n">
        <f aca="false">D49-D63-D22-D52-D53+D54-D66-D67</f>
        <v>-509.1245</v>
      </c>
      <c r="E68" s="55" t="n">
        <f aca="false">E49-E63-E22-E52-E53+E54-E66-E67</f>
        <v>-1681.8866</v>
      </c>
      <c r="F68" s="55" t="n">
        <f aca="false">F49-F63-F22-F52-F53+F54-F66-F67</f>
        <v>-1462.09996842105</v>
      </c>
      <c r="G68" s="55" t="n">
        <f aca="false">G49-G63-G22-G52-G53+G54-G66-G67</f>
        <v>-968.648648468648</v>
      </c>
      <c r="H68" s="55" t="n">
        <f aca="false">H49-H63-H22-H52-H53+H54-H66-H67</f>
        <v>-932.003784708935</v>
      </c>
      <c r="I68" s="55" t="n">
        <f aca="false">I49-I63-I22-I52-I53+I54-I66-I67</f>
        <v>-886.366168217137</v>
      </c>
      <c r="J68" s="55" t="n">
        <f aca="false">J49-J63-J22-J52-J53+J54-J66-J67</f>
        <v>-770.427008107971</v>
      </c>
      <c r="K68" s="55" t="n">
        <f aca="false">K49-K63-K22-K52-K53+K54-K66-K67</f>
        <v>-1137.75128211605</v>
      </c>
      <c r="L68" s="55" t="n">
        <f aca="false">L49-L63-L22-L52-L53+L54-L66-L67</f>
        <v>-1075.82197079835</v>
      </c>
      <c r="M68" s="55" t="n">
        <f aca="false">M49-M63-M22-M52-M53+M54-M66-M67</f>
        <v>-1034.05752724661</v>
      </c>
      <c r="N68" s="55" t="n">
        <f aca="false">N49-N63-N22-N52-N53+N54-N66-N67</f>
        <v>-532.595778065259</v>
      </c>
      <c r="O68" s="55" t="n">
        <f aca="false">O49-O63-O22-O52-O53+O54-O66-O67</f>
        <v>-515.831996932885</v>
      </c>
      <c r="P68" s="55" t="n">
        <f aca="false">P49-P63-P22-P52-P53+P54-P66-P67</f>
        <v>-508.790749923074</v>
      </c>
      <c r="Q68" s="55" t="n">
        <f aca="false">Q49-Q63-Q22-Q52-Q53+Q54-Q66-Q67</f>
        <v>-507.549556128816</v>
      </c>
      <c r="R68" s="55" t="n">
        <f aca="false">R49-R63-R22-R52-R53+R54-R66-R67</f>
        <v>-1040.73149224777</v>
      </c>
    </row>
    <row r="69" customFormat="false" ht="15" hidden="false" customHeight="false" outlineLevel="0" collapsed="false">
      <c r="A69" s="7" t="s">
        <v>633</v>
      </c>
      <c r="B69" s="17" t="s">
        <v>116</v>
      </c>
      <c r="D69" s="42" t="n">
        <f aca="false">SUM($D$68:D68)</f>
        <v>-509.1245</v>
      </c>
      <c r="E69" s="42" t="n">
        <f aca="false">SUM($D$68:E68)</f>
        <v>-2191.0111</v>
      </c>
      <c r="F69" s="42" t="n">
        <f aca="false">SUM($D$68:F68)</f>
        <v>-3653.11106842105</v>
      </c>
      <c r="G69" s="42" t="n">
        <f aca="false">SUM($D$68:G68)</f>
        <v>-4621.7597168897</v>
      </c>
      <c r="H69" s="42" t="n">
        <f aca="false">SUM($D$68:H68)</f>
        <v>-5553.76350159864</v>
      </c>
      <c r="I69" s="42" t="n">
        <f aca="false">SUM($D$68:I68)</f>
        <v>-6440.12966981577</v>
      </c>
      <c r="J69" s="42" t="n">
        <f aca="false">SUM($D$68:J68)</f>
        <v>-7210.55667792374</v>
      </c>
      <c r="K69" s="42" t="n">
        <f aca="false">SUM($D$68:K68)</f>
        <v>-8348.30796003979</v>
      </c>
      <c r="L69" s="42" t="n">
        <f aca="false">SUM($D$68:L68)</f>
        <v>-9424.12993083814</v>
      </c>
      <c r="M69" s="42" t="n">
        <f aca="false">SUM($D$68:M68)</f>
        <v>-10458.1874580847</v>
      </c>
      <c r="N69" s="42" t="n">
        <f aca="false">SUM($D$68:N68)</f>
        <v>-10990.78323615</v>
      </c>
      <c r="O69" s="42" t="n">
        <f aca="false">SUM($D$68:O68)</f>
        <v>-11506.6152330829</v>
      </c>
      <c r="P69" s="42" t="n">
        <f aca="false">SUM($D$68:P68)</f>
        <v>-12015.405983006</v>
      </c>
      <c r="Q69" s="42" t="n">
        <f aca="false">SUM($D$68:Q68)</f>
        <v>-12522.9555391348</v>
      </c>
      <c r="R69" s="42" t="n">
        <f aca="false">SUM($D$68:R68)</f>
        <v>-13563.6870313825</v>
      </c>
    </row>
    <row r="70" customFormat="false" ht="15" hidden="false" customHeight="false" outlineLevel="0" collapsed="false">
      <c r="A70" s="5" t="s">
        <v>634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customFormat="false" ht="15" hidden="false" customHeight="false" outlineLevel="0" collapsed="false">
      <c r="A71" s="7" t="s">
        <v>635</v>
      </c>
      <c r="B71" s="17" t="s">
        <v>68</v>
      </c>
      <c r="D71" s="23" t="n">
        <f aca="false">WACC!D$21</f>
        <v>0.103496717614723</v>
      </c>
      <c r="E71" s="23" t="n">
        <f aca="false">WACC!E$21</f>
        <v>0.103496717614723</v>
      </c>
      <c r="F71" s="23" t="n">
        <f aca="false">WACC!F$21</f>
        <v>0.103496717614723</v>
      </c>
      <c r="G71" s="23" t="n">
        <f aca="false">WACC!G$21</f>
        <v>0.103496717614723</v>
      </c>
      <c r="H71" s="23" t="n">
        <f aca="false">WACC!H$21</f>
        <v>0.103496717614723</v>
      </c>
      <c r="I71" s="23" t="n">
        <f aca="false">WACC!I$21</f>
        <v>0.0993123740917783</v>
      </c>
      <c r="J71" s="23" t="n">
        <f aca="false">WACC!J$21</f>
        <v>0.0951280305688338</v>
      </c>
      <c r="K71" s="23" t="n">
        <f aca="false">WACC!K$21</f>
        <v>0.0909436870458892</v>
      </c>
      <c r="L71" s="23" t="n">
        <f aca="false">WACC!L$21</f>
        <v>0.0867593435229446</v>
      </c>
      <c r="M71" s="23" t="n">
        <f aca="false">WACC!M$21</f>
        <v>0.082575</v>
      </c>
      <c r="N71" s="23" t="n">
        <f aca="false">WACC!N$21</f>
        <v>0.082575</v>
      </c>
      <c r="O71" s="23" t="n">
        <f aca="false">WACC!O$21</f>
        <v>0.082575</v>
      </c>
      <c r="P71" s="23" t="n">
        <f aca="false">WACC!P$21</f>
        <v>0.082575</v>
      </c>
      <c r="Q71" s="23" t="n">
        <f aca="false">WACC!Q$21</f>
        <v>0.082575</v>
      </c>
      <c r="R71" s="23" t="n">
        <f aca="false">WACC!R$21</f>
        <v>0.082575</v>
      </c>
    </row>
    <row r="72" customFormat="false" ht="15" hidden="false" customHeight="false" outlineLevel="0" collapsed="false">
      <c r="A72" s="7" t="s">
        <v>636</v>
      </c>
      <c r="B72" s="17" t="s">
        <v>637</v>
      </c>
      <c r="D72" s="45" t="n">
        <f aca="false">(1+D71)^(D8+D7-Inputs!$D$6)</f>
        <v>1.03100085196045</v>
      </c>
      <c r="E72" s="45" t="n">
        <f aca="false">D72*(1+E71)^E7</f>
        <v>1.13770605599634</v>
      </c>
      <c r="F72" s="45" t="n">
        <f aca="false">E72*(1+F71)^F7</f>
        <v>1.25545489840236</v>
      </c>
      <c r="G72" s="45" t="n">
        <f aca="false">F72*(1+G71)^G7</f>
        <v>1.38539035950032</v>
      </c>
      <c r="H72" s="45" t="n">
        <f aca="false">G72*(1+H71)^H7</f>
        <v>1.52877371432369</v>
      </c>
      <c r="I72" s="45" t="n">
        <f aca="false">H72*(1+I71)^I7</f>
        <v>1.68059986134228</v>
      </c>
      <c r="J72" s="45" t="n">
        <f aca="false">I72*(1+J71)^J7</f>
        <v>1.84047201632603</v>
      </c>
      <c r="K72" s="45" t="n">
        <f aca="false">J72*(1+K71)^K7</f>
        <v>2.0078513273955</v>
      </c>
      <c r="L72" s="45" t="n">
        <f aca="false">K72*(1+L71)^L7</f>
        <v>2.182051190452</v>
      </c>
      <c r="M72" s="45" t="n">
        <f aca="false">L72*(1+M71)^M7</f>
        <v>2.36223406750358</v>
      </c>
      <c r="N72" s="45" t="n">
        <f aca="false">M72*(1+N71)^N7</f>
        <v>2.55729554562769</v>
      </c>
      <c r="O72" s="45" t="n">
        <f aca="false">N72*(1+O71)^O7</f>
        <v>2.76846422530789</v>
      </c>
      <c r="P72" s="45" t="n">
        <f aca="false">O72*(1+P71)^P7</f>
        <v>2.99707015871269</v>
      </c>
      <c r="Q72" s="45" t="n">
        <f aca="false">P72*(1+Q71)^Q7</f>
        <v>3.24455322706839</v>
      </c>
      <c r="R72" s="45" t="n">
        <f aca="false">Q72*(1+R71)^R7</f>
        <v>3.51247220979357</v>
      </c>
    </row>
    <row r="73" customFormat="false" ht="15" hidden="false" customHeight="false" outlineLevel="0" collapsed="false">
      <c r="A73" s="7" t="s">
        <v>638</v>
      </c>
      <c r="B73" s="17" t="s">
        <v>637</v>
      </c>
      <c r="D73" s="45" t="n">
        <f aca="false">1/(1+D71)^(D9-Inputs!$D$6)</f>
        <v>0.994108385699078</v>
      </c>
      <c r="E73" s="45" t="n">
        <f aca="false">1/(D72*(1+E71)^(E7/2))</f>
        <v>0.923326824776453</v>
      </c>
      <c r="F73" s="45" t="n">
        <f aca="false">1/(E72*(1+F71)^(F7/2))</f>
        <v>0.836728202302478</v>
      </c>
      <c r="G73" s="45" t="n">
        <f aca="false">1/(F72*(1+G71)^(G7/2))</f>
        <v>0.75825164583282</v>
      </c>
      <c r="H73" s="45" t="n">
        <f aca="false">1/(G72*(1+H71)^(H7/2))</f>
        <v>0.687135388559948</v>
      </c>
      <c r="I73" s="45" t="n">
        <f aca="false">1/(H72*(1+I71)^(I7/2))</f>
        <v>0.623873063572163</v>
      </c>
      <c r="J73" s="45" t="n">
        <f aca="false">1/(I72*(1+J71)^(J7/2))</f>
        <v>0.568595252263519</v>
      </c>
      <c r="K73" s="45" t="n">
        <f aca="false">1/(J72*(1+K71)^(K7/2))</f>
        <v>0.520199121813138</v>
      </c>
      <c r="L73" s="45" t="n">
        <f aca="false">1/(K72*(1+L71)^(L7/2))</f>
        <v>0.477751166978813</v>
      </c>
      <c r="M73" s="45" t="n">
        <f aca="false">1/(L72*(1+M71)^(M7/2))</f>
        <v>0.440459588117527</v>
      </c>
      <c r="N73" s="45" t="n">
        <f aca="false">1/(M72*(1+N71)^(N7/2))</f>
        <v>0.406862885359007</v>
      </c>
      <c r="O73" s="45" t="n">
        <f aca="false">1/(N72*(1+O71)^(O7/2))</f>
        <v>0.375828820505745</v>
      </c>
      <c r="P73" s="45" t="n">
        <f aca="false">1/(O72*(1+P71)^(P7/2))</f>
        <v>0.34716192458328</v>
      </c>
      <c r="Q73" s="45" t="n">
        <f aca="false">1/(P72*(1+Q71)^(Q7/2))</f>
        <v>0.320681638300608</v>
      </c>
      <c r="R73" s="45" t="n">
        <f aca="false">1/(Q72*(1+R71)^(R7/2))</f>
        <v>0.296221174792146</v>
      </c>
    </row>
    <row r="74" customFormat="false" ht="15" hidden="false" customHeight="false" outlineLevel="0" collapsed="false">
      <c r="A74" s="3" t="s">
        <v>639</v>
      </c>
      <c r="B74" s="17" t="s">
        <v>116</v>
      </c>
      <c r="D74" s="55" t="n">
        <f aca="false">D68*D73</f>
        <v>-506.12493481485</v>
      </c>
      <c r="E74" s="55" t="n">
        <f aca="false">E68*E73</f>
        <v>-1552.93101401206</v>
      </c>
      <c r="F74" s="55" t="n">
        <f aca="false">F68*F73</f>
        <v>-1223.38027816346</v>
      </c>
      <c r="G74" s="55" t="n">
        <f aca="false">G68*G73</f>
        <v>-734.479431935089</v>
      </c>
      <c r="H74" s="55" t="n">
        <f aca="false">H68*H73</f>
        <v>-640.412782745316</v>
      </c>
      <c r="I74" s="55" t="n">
        <f aca="false">I68*I73</f>
        <v>-552.979976812345</v>
      </c>
      <c r="J74" s="55" t="n">
        <f aca="false">J68*J73</f>
        <v>-438.06113902578</v>
      </c>
      <c r="K74" s="55" t="n">
        <f aca="false">K68*K73</f>
        <v>-591.85721779854</v>
      </c>
      <c r="L74" s="55" t="n">
        <f aca="false">L68*L73</f>
        <v>-513.975202010357</v>
      </c>
      <c r="M74" s="55" t="n">
        <f aca="false">M68*M73</f>
        <v>-455.460552540869</v>
      </c>
      <c r="N74" s="55" t="n">
        <f aca="false">N68*N73</f>
        <v>-216.693454993656</v>
      </c>
      <c r="O74" s="55" t="n">
        <f aca="false">O68*O73</f>
        <v>-193.864530986409</v>
      </c>
      <c r="P74" s="55" t="n">
        <f aca="false">P68*P73</f>
        <v>-176.632775953465</v>
      </c>
      <c r="Q74" s="55" t="n">
        <f aca="false">Q68*Q73</f>
        <v>-162.761823178135</v>
      </c>
      <c r="R74" s="55" t="n">
        <f aca="false">R68*R73</f>
        <v>-308.286705276817</v>
      </c>
    </row>
    <row r="75" customFormat="false" ht="15" hidden="false" customHeight="false" outlineLevel="0" collapsed="false">
      <c r="A75" s="5" t="s">
        <v>640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customFormat="false" ht="15" hidden="false" customHeight="false" outlineLevel="0" collapsed="false">
      <c r="A76" s="7" t="s">
        <v>641</v>
      </c>
      <c r="C76" s="48" t="n">
        <f aca="false">WACC!$C$16</f>
        <v>0.082575</v>
      </c>
    </row>
    <row r="77" customFormat="false" ht="15" hidden="false" customHeight="false" outlineLevel="0" collapsed="false">
      <c r="A77" s="7" t="s">
        <v>642</v>
      </c>
      <c r="C77" s="48" t="n">
        <f aca="false">Inputs!$D$20</f>
        <v>0.025</v>
      </c>
    </row>
    <row r="78" customFormat="false" ht="15" hidden="false" customHeight="false" outlineLevel="0" collapsed="false">
      <c r="A78" s="7" t="s">
        <v>643</v>
      </c>
      <c r="C78" s="42" t="n">
        <f aca="false">R49*(1+C77)</f>
        <v>-460.014537389785</v>
      </c>
    </row>
    <row r="79" customFormat="false" ht="15" hidden="false" customHeight="false" outlineLevel="0" collapsed="false">
      <c r="A79" s="7" t="s">
        <v>644</v>
      </c>
      <c r="C79" s="42" t="n">
        <f aca="false">Inputs!$D$63/ROUND(Inputs!$D$26,0)/(1-Inputs!$D$27)*R18*(1+C77)</f>
        <v>233.206755708122</v>
      </c>
    </row>
    <row r="80" customFormat="false" ht="15" hidden="false" customHeight="false" outlineLevel="0" collapsed="false">
      <c r="A80" s="7" t="s">
        <v>645</v>
      </c>
      <c r="C80" s="42" t="n">
        <f aca="false">R52*(1+C77)</f>
        <v>61.5</v>
      </c>
    </row>
    <row r="81" customFormat="false" ht="15" hidden="false" customHeight="false" outlineLevel="0" collapsed="false">
      <c r="A81" s="7" t="s">
        <v>646</v>
      </c>
      <c r="C81" s="42" t="n">
        <f aca="false">Inputs!$D$22*MAX(0,C78-C79-C80)</f>
        <v>0</v>
      </c>
    </row>
    <row r="82" customFormat="false" ht="15" hidden="false" customHeight="false" outlineLevel="0" collapsed="false">
      <c r="A82" s="7" t="s">
        <v>647</v>
      </c>
      <c r="C82" s="42" t="n">
        <f aca="false">Inputs!$D$42*R37*C77</f>
        <v>0.995035266126647</v>
      </c>
    </row>
    <row r="83" customFormat="false" ht="15" hidden="false" customHeight="false" outlineLevel="0" collapsed="false">
      <c r="A83" s="3" t="s">
        <v>648</v>
      </c>
      <c r="C83" s="43" t="n">
        <f aca="false">C78-C81-C79-C80-C82</f>
        <v>-755.716328364034</v>
      </c>
    </row>
    <row r="84" customFormat="false" ht="15" hidden="false" customHeight="false" outlineLevel="0" collapsed="false">
      <c r="A84" s="7" t="s">
        <v>649</v>
      </c>
      <c r="C84" s="42" t="n">
        <f aca="false">C83*(1+C76)^0.5/(C76-C77)</f>
        <v>-13656.9542984158</v>
      </c>
    </row>
    <row r="85" customFormat="false" ht="15" hidden="false" customHeight="false" outlineLevel="0" collapsed="false">
      <c r="A85" s="7" t="s">
        <v>650</v>
      </c>
      <c r="C85" s="42" t="n">
        <f aca="false">C84/R72</f>
        <v>-3888.1316300061</v>
      </c>
    </row>
    <row r="86" customFormat="false" ht="15" hidden="false" customHeight="false" outlineLevel="0" collapsed="false">
      <c r="A86" s="7" t="s">
        <v>651</v>
      </c>
      <c r="C86" s="42" t="n">
        <f aca="false">SUM(D74:R74)</f>
        <v>-8267.90182024715</v>
      </c>
    </row>
    <row r="87" customFormat="false" ht="15" hidden="false" customHeight="false" outlineLevel="0" collapsed="false">
      <c r="A87" s="3" t="s">
        <v>652</v>
      </c>
      <c r="C87" s="43" t="n">
        <f aca="false">C86+C85</f>
        <v>-12156.0334502533</v>
      </c>
    </row>
    <row r="88" customFormat="false" ht="15" hidden="false" customHeight="false" outlineLevel="0" collapsed="false">
      <c r="A88" s="7" t="s">
        <v>38</v>
      </c>
      <c r="C88" s="41" t="n">
        <f aca="false">IF(C87&lt;=0,0,C85/C87)</f>
        <v>0</v>
      </c>
    </row>
    <row r="89" customFormat="false" ht="15" hidden="false" customHeight="false" outlineLevel="0" collapsed="false">
      <c r="A89" s="7" t="s">
        <v>653</v>
      </c>
      <c r="C89" s="24" t="str">
        <f aca="false">IF(C78&lt;=0,"n/m",C84/C78)</f>
        <v>n/m</v>
      </c>
    </row>
    <row r="90" customFormat="false" ht="15" hidden="false" customHeight="false" outlineLevel="0" collapsed="false">
      <c r="A90" s="5" t="s">
        <v>654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customFormat="false" ht="15" hidden="false" customHeight="false" outlineLevel="0" collapsed="false">
      <c r="A91" s="7" t="s">
        <v>655</v>
      </c>
      <c r="C91" s="42" t="n">
        <f aca="false">Capital_Structure!$D$20</f>
        <v>3755.203</v>
      </c>
    </row>
    <row r="92" customFormat="false" ht="15" hidden="false" customHeight="false" outlineLevel="0" collapsed="false">
      <c r="A92" s="7" t="s">
        <v>656</v>
      </c>
      <c r="C92" s="42" t="n">
        <f aca="false">Capital_Structure!$B$26</f>
        <v>468.638</v>
      </c>
    </row>
    <row r="93" customFormat="false" ht="15" hidden="false" customHeight="false" outlineLevel="0" collapsed="false">
      <c r="A93" s="7" t="s">
        <v>657</v>
      </c>
      <c r="C93" s="42" t="n">
        <f aca="false">Capital_Structure!$B$35</f>
        <v>3703.514</v>
      </c>
    </row>
    <row r="94" customFormat="false" ht="15" hidden="false" customHeight="false" outlineLevel="0" collapsed="false">
      <c r="A94" s="3" t="s">
        <v>658</v>
      </c>
      <c r="C94" s="43" t="n">
        <f aca="false">C87+C91-C92-C93</f>
        <v>-12572.9824502533</v>
      </c>
    </row>
    <row r="95" customFormat="false" ht="15" hidden="false" customHeight="false" outlineLevel="0" collapsed="false">
      <c r="A95" s="7" t="s">
        <v>659</v>
      </c>
      <c r="C95" s="42" t="n">
        <f aca="false">Capital_Structure!$B$9</f>
        <v>389.167494</v>
      </c>
    </row>
    <row r="96" customFormat="false" ht="15" hidden="false" customHeight="false" outlineLevel="0" collapsed="false">
      <c r="A96" s="3" t="s">
        <v>396</v>
      </c>
      <c r="B96" s="3" t="s">
        <v>367</v>
      </c>
      <c r="C96" s="3" t="s">
        <v>366</v>
      </c>
      <c r="D96" s="3" t="s">
        <v>660</v>
      </c>
      <c r="E96" s="3" t="s">
        <v>661</v>
      </c>
      <c r="F96" s="3" t="s">
        <v>662</v>
      </c>
      <c r="H96" s="17" t="s">
        <v>663</v>
      </c>
    </row>
    <row r="97" customFormat="false" ht="15" hidden="false" customHeight="false" outlineLevel="0" collapsed="false">
      <c r="A97" s="47" t="str">
        <f aca="false">Capital_Structure!A48</f>
        <v>2032 4.25% converts</v>
      </c>
      <c r="B97" s="15" t="n">
        <f aca="false">Capital_Structure!B48</f>
        <v>26.99</v>
      </c>
      <c r="C97" s="22" t="n">
        <f aca="false">Capital_Structure!C48</f>
        <v>0.130196369025565</v>
      </c>
      <c r="D97" s="16" t="n">
        <f aca="false">Capital_Structure!D48</f>
        <v>3.514</v>
      </c>
      <c r="E97" s="57" t="n">
        <f aca="false">($C$94+SUMIF($B$97:$B$106,"&lt;="&amp;B97,$D$97:$D$106))/($C$95+SUMIF($B$97:$B$106,"&lt;="&amp;B97,$C$97:$C$106))</f>
        <v>-31.0252868267541</v>
      </c>
      <c r="F97" s="58" t="n">
        <f aca="false">IF(E97&gt;B97,1,0)</f>
        <v>0</v>
      </c>
    </row>
    <row r="98" customFormat="false" ht="15" hidden="false" customHeight="false" outlineLevel="0" collapsed="false">
      <c r="A98" s="47" t="str">
        <f aca="false">Capital_Structure!A49</f>
        <v>2032 2.375% converts</v>
      </c>
      <c r="B98" s="15" t="n">
        <f aca="false">Capital_Structure!B49</f>
        <v>72.07</v>
      </c>
      <c r="C98" s="22" t="n">
        <f aca="false">Capital_Structure!C49</f>
        <v>4.50950464825864</v>
      </c>
      <c r="D98" s="16" t="n">
        <f aca="false">Capital_Structure!D49</f>
        <v>325</v>
      </c>
      <c r="E98" s="57" t="n">
        <f aca="false">($C$94+SUMIF($B$97:$B$106,"&lt;="&amp;B98,$D$97:$D$106))/($C$95+SUMIF($B$97:$B$106,"&lt;="&amp;B98,$C$97:$C$106))</f>
        <v>-29.888167582642</v>
      </c>
      <c r="F98" s="58" t="n">
        <f aca="false">IF(E98&gt;B98,1,0)</f>
        <v>0</v>
      </c>
    </row>
    <row r="99" customFormat="false" ht="15" hidden="false" customHeight="false" outlineLevel="0" collapsed="false">
      <c r="A99" s="47" t="str">
        <f aca="false">Capital_Structure!A50</f>
        <v>2036 2.00% converts</v>
      </c>
      <c r="B99" s="15" t="n">
        <f aca="false">Capital_Structure!B50</f>
        <v>96.3</v>
      </c>
      <c r="C99" s="22" t="n">
        <f aca="false">Capital_Structure!C50</f>
        <v>11.9418483904465</v>
      </c>
      <c r="D99" s="16" t="n">
        <f aca="false">Capital_Structure!D50</f>
        <v>1150</v>
      </c>
      <c r="E99" s="57" t="n">
        <f aca="false">($C$94+SUMIF($B$97:$B$106,"&lt;="&amp;B99,$D$97:$D$106))/($C$95+SUMIF($B$97:$B$106,"&lt;="&amp;B99,$C$97:$C$106))</f>
        <v>-26.3069957215725</v>
      </c>
      <c r="F99" s="58" t="n">
        <f aca="false">IF(E99&gt;B99,1,0)</f>
        <v>0</v>
      </c>
    </row>
    <row r="100" customFormat="false" ht="15" hidden="false" customHeight="false" outlineLevel="0" collapsed="false">
      <c r="A100" s="47" t="str">
        <f aca="false">Capital_Structure!A51</f>
        <v>2036 2.25% converts</v>
      </c>
      <c r="B100" s="15" t="n">
        <f aca="false">Capital_Structure!B51</f>
        <v>116.3</v>
      </c>
      <c r="C100" s="22" t="n">
        <f aca="false">Capital_Structure!C51</f>
        <v>9.24333619948409</v>
      </c>
      <c r="D100" s="16" t="n">
        <f aca="false">Capital_Structure!D51</f>
        <v>1075</v>
      </c>
      <c r="E100" s="57" t="n">
        <f aca="false">($C$94+SUMIF($B$97:$B$106,"&lt;="&amp;B100,$D$97:$D$106))/($C$95+SUMIF($B$97:$B$106,"&lt;="&amp;B100,$C$97:$C$106))</f>
        <v>-23.2417320707901</v>
      </c>
      <c r="F100" s="58" t="n">
        <f aca="false">IF(E100&gt;B100,1,0)</f>
        <v>0</v>
      </c>
    </row>
    <row r="101" customFormat="false" ht="15" hidden="false" customHeight="false" outlineLevel="0" collapsed="false">
      <c r="A101" s="47" t="str">
        <f aca="false">Capital_Structure!A52</f>
        <v>2034 1.625% converts (Jul-2026)</v>
      </c>
      <c r="B101" s="15" t="n">
        <f aca="false">Capital_Structure!B52</f>
        <v>149.2</v>
      </c>
      <c r="C101" s="22" t="n">
        <f aca="false">Capital_Structure!C52</f>
        <v>14.4526831720498</v>
      </c>
      <c r="D101" s="16" t="n">
        <f aca="false">Capital_Structure!D52</f>
        <v>2156.34032926983</v>
      </c>
      <c r="E101" s="57" t="n">
        <f aca="false">($C$94+SUMIF($B$97:$B$106,"&lt;="&amp;B101,$D$97:$D$106))/($C$95+SUMIF($B$97:$B$106,"&lt;="&amp;B101,$C$97:$C$106))</f>
        <v>-17.6346989786499</v>
      </c>
      <c r="F101" s="58" t="n">
        <f aca="false">IF(E101&gt;B101,1,0)</f>
        <v>0</v>
      </c>
    </row>
    <row r="102" customFormat="false" ht="15" hidden="false" customHeight="false" outlineLevel="0" collapsed="false">
      <c r="A102" s="47" t="str">
        <f aca="false">Capital_Structure!A53</f>
        <v>2020 Plan stock options</v>
      </c>
      <c r="B102" s="15" t="n">
        <f aca="false">Capital_Structure!B53</f>
        <v>9.2</v>
      </c>
      <c r="C102" s="22" t="n">
        <f aca="false">Capital_Structure!C53</f>
        <v>1.957612</v>
      </c>
      <c r="D102" s="16" t="n">
        <f aca="false">Capital_Structure!D53</f>
        <v>18.0100304</v>
      </c>
      <c r="E102" s="57" t="n">
        <f aca="false">($C$94+SUMIF($B$97:$B$106,"&lt;="&amp;B102,$D$97:$D$106))/($C$95+SUMIF($B$97:$B$106,"&lt;="&amp;B102,$C$97:$C$106))</f>
        <v>-31.0516518722953</v>
      </c>
      <c r="F102" s="58" t="n">
        <f aca="false">IF(E102&gt;B102,1,0)</f>
        <v>0</v>
      </c>
    </row>
    <row r="103" customFormat="false" ht="15" hidden="false" customHeight="false" outlineLevel="0" collapsed="false">
      <c r="A103" s="47" t="str">
        <f aca="false">Capital_Structure!A54</f>
        <v>2024 Plan stock options</v>
      </c>
      <c r="B103" s="15" t="n">
        <f aca="false">Capital_Structure!B54</f>
        <v>24.65</v>
      </c>
      <c r="C103" s="22" t="n">
        <f aca="false">Capital_Structure!C54</f>
        <v>0.055718</v>
      </c>
      <c r="D103" s="16" t="n">
        <f aca="false">Capital_Structure!D54</f>
        <v>1.3734487</v>
      </c>
      <c r="E103" s="57" t="n">
        <f aca="false">($C$94+SUMIF($B$97:$B$106,"&lt;="&amp;B103,$D$97:$D$106))/($C$95+SUMIF($B$97:$B$106,"&lt;="&amp;B103,$C$97:$C$106))</f>
        <v>-31.0439736866694</v>
      </c>
      <c r="F103" s="58" t="n">
        <f aca="false">IF(E103&gt;B103,1,0)</f>
        <v>0</v>
      </c>
    </row>
    <row r="104" customFormat="false" ht="15" hidden="false" customHeight="false" outlineLevel="0" collapsed="false">
      <c r="A104" s="47" t="str">
        <f aca="false">Capital_Structure!A55</f>
        <v>AST LLC incentive options</v>
      </c>
      <c r="B104" s="15" t="n">
        <f aca="false">Capital_Structure!B55</f>
        <v>1.01</v>
      </c>
      <c r="C104" s="22" t="n">
        <f aca="false">Capital_Structure!C55</f>
        <v>5.320887</v>
      </c>
      <c r="D104" s="16" t="n">
        <f aca="false">Capital_Structure!D55</f>
        <v>5.37409587</v>
      </c>
      <c r="E104" s="57" t="n">
        <f aca="false">($C$94+SUMIF($B$97:$B$106,"&lt;="&amp;B104,$D$97:$D$106))/($C$95+SUMIF($B$97:$B$106,"&lt;="&amp;B104,$C$97:$C$106))</f>
        <v>-31.2475696894938</v>
      </c>
      <c r="F104" s="58" t="n">
        <f aca="false">IF(E104&gt;B104,1,0)</f>
        <v>0</v>
      </c>
    </row>
    <row r="105" customFormat="false" ht="15" hidden="false" customHeight="false" outlineLevel="0" collapsed="false">
      <c r="A105" s="47" t="str">
        <f aca="false">Capital_Structure!A56</f>
        <v>2020 Plan RSUs</v>
      </c>
      <c r="B105" s="15" t="n">
        <f aca="false">Capital_Structure!B56</f>
        <v>0</v>
      </c>
      <c r="C105" s="22" t="n">
        <f aca="false">Capital_Structure!C56</f>
        <v>0.832699</v>
      </c>
      <c r="D105" s="16" t="n">
        <f aca="false">Capital_Structure!D56</f>
        <v>0</v>
      </c>
      <c r="E105" s="57" t="n">
        <f aca="false">($C$94+SUMIF($B$97:$B$106,"&lt;="&amp;B105,$D$97:$D$106))/($C$95+SUMIF($B$97:$B$106,"&lt;="&amp;B105,$C$97:$C$106))</f>
        <v>-31.6800468590532</v>
      </c>
      <c r="F105" s="58" t="n">
        <f aca="false">IF(E105&gt;B105,1,0)</f>
        <v>0</v>
      </c>
    </row>
    <row r="106" customFormat="false" ht="15" hidden="false" customHeight="false" outlineLevel="0" collapsed="false">
      <c r="A106" s="47" t="str">
        <f aca="false">Capital_Structure!A57</f>
        <v>2024 Plan RSUs</v>
      </c>
      <c r="B106" s="15" t="n">
        <f aca="false">Capital_Structure!B57</f>
        <v>0</v>
      </c>
      <c r="C106" s="22" t="n">
        <f aca="false">Capital_Structure!C57</f>
        <v>6.873666</v>
      </c>
      <c r="D106" s="16" t="n">
        <f aca="false">Capital_Structure!D57</f>
        <v>0</v>
      </c>
      <c r="E106" s="57" t="n">
        <f aca="false">($C$94+SUMIF($B$97:$B$106,"&lt;="&amp;B106,$D$97:$D$106))/($C$95+SUMIF($B$97:$B$106,"&lt;="&amp;B106,$C$97:$C$106))</f>
        <v>-31.6800468590532</v>
      </c>
      <c r="F106" s="58" t="n">
        <f aca="false">IF(E106&gt;B106,1,0)</f>
        <v>0</v>
      </c>
    </row>
    <row r="107" customFormat="false" ht="15" hidden="false" customHeight="false" outlineLevel="0" collapsed="false">
      <c r="A107" s="7" t="s">
        <v>664</v>
      </c>
      <c r="C107" s="42" t="n">
        <f aca="false">C94+SUMPRODUCT(F97:F106,D97:D106)</f>
        <v>-12572.9824502533</v>
      </c>
    </row>
    <row r="108" customFormat="false" ht="15" hidden="false" customHeight="false" outlineLevel="0" collapsed="false">
      <c r="A108" s="7" t="s">
        <v>40</v>
      </c>
      <c r="C108" s="42" t="n">
        <f aca="false">C95+SUMPRODUCT(F97:F106,C97:C106)</f>
        <v>389.167494</v>
      </c>
    </row>
    <row r="109" customFormat="false" ht="15" hidden="false" customHeight="false" outlineLevel="0" collapsed="false">
      <c r="A109" s="3" t="s">
        <v>665</v>
      </c>
      <c r="C109" s="20" t="n">
        <f aca="false">MAX(0,C107/C108)</f>
        <v>0</v>
      </c>
    </row>
    <row r="110" customFormat="false" ht="15" hidden="false" customHeight="false" outlineLevel="0" collapsed="false">
      <c r="A110" s="7" t="s">
        <v>666</v>
      </c>
      <c r="C110" s="41" t="n">
        <f aca="false">C109/Market_Data!$J$7-1</f>
        <v>-1</v>
      </c>
    </row>
    <row r="111" customFormat="false" ht="15" hidden="false" customHeight="false" outlineLevel="0" collapsed="false">
      <c r="A111" s="5" t="s">
        <v>667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customFormat="false" ht="15" hidden="false" customHeight="false" outlineLevel="0" collapsed="false">
      <c r="A112" s="7" t="s">
        <v>668</v>
      </c>
      <c r="C112" s="42" t="n">
        <f aca="false">Inputs!$D$36+D37</f>
        <v>151.255</v>
      </c>
    </row>
    <row r="113" customFormat="false" ht="15" hidden="false" customHeight="false" outlineLevel="0" collapsed="false">
      <c r="A113" s="7" t="s">
        <v>669</v>
      </c>
      <c r="C113" s="42" t="n">
        <f aca="false">MIN(D69:R69)</f>
        <v>-13563.6870313825</v>
      </c>
    </row>
    <row r="114" customFormat="false" ht="15" hidden="false" customHeight="false" outlineLevel="0" collapsed="false">
      <c r="A114" s="7" t="s">
        <v>44</v>
      </c>
      <c r="C114" s="45" t="n">
        <f aca="false">MAX(D39:R39)</f>
        <v>0.357778663879452</v>
      </c>
    </row>
    <row r="115" customFormat="false" ht="15" hidden="false" customHeight="false" outlineLevel="0" collapsed="false">
      <c r="A115" s="7" t="s">
        <v>670</v>
      </c>
      <c r="C115" s="41" t="n">
        <f aca="false">IF(N37&lt;=0,0,(R37/N37)^(1/4)-1)</f>
        <v>0.0381833453204346</v>
      </c>
    </row>
    <row r="116" customFormat="false" ht="15" hidden="false" customHeight="false" outlineLevel="0" collapsed="false">
      <c r="A116" s="7" t="s">
        <v>26</v>
      </c>
      <c r="C116" s="41" t="n">
        <f aca="false">R50</f>
        <v>-0.563792417593391</v>
      </c>
    </row>
    <row r="117" customFormat="false" ht="15" hidden="false" customHeight="false" outlineLevel="0" collapsed="false">
      <c r="A117" s="7" t="s">
        <v>671</v>
      </c>
      <c r="C117" s="42" t="n">
        <f aca="false">H37</f>
        <v>196.858664526147</v>
      </c>
    </row>
    <row r="118" customFormat="false" ht="15" hidden="false" customHeight="false" outlineLevel="0" collapsed="false">
      <c r="A118" s="7" t="s">
        <v>672</v>
      </c>
      <c r="C118" s="42" t="n">
        <f aca="false">M37</f>
        <v>630.975176631429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8" min="2" style="0" width="11"/>
  </cols>
  <sheetData>
    <row r="1" customFormat="false" ht="17.35" hidden="false" customHeight="false" outlineLevel="0" collapsed="false">
      <c r="A1" s="1" t="s">
        <v>679</v>
      </c>
    </row>
    <row r="2" customFormat="false" ht="15" hidden="false" customHeight="false" outlineLevel="0" collapsed="false">
      <c r="A2" s="2" t="s">
        <v>680</v>
      </c>
    </row>
    <row r="4" customFormat="false" ht="15" hidden="false" customHeight="false" outlineLevel="0" collapsed="false">
      <c r="A4" s="3" t="s">
        <v>681</v>
      </c>
    </row>
    <row r="5" customFormat="false" ht="15" hidden="false" customHeight="false" outlineLevel="0" collapsed="false">
      <c r="A5" s="17" t="s">
        <v>682</v>
      </c>
      <c r="B5" s="48" t="n">
        <f aca="false">Inputs!$D$20+(-0.01)</f>
        <v>0.015</v>
      </c>
      <c r="C5" s="48" t="n">
        <f aca="false">Inputs!$D$20+(-0.005)</f>
        <v>0.02</v>
      </c>
      <c r="D5" s="48" t="n">
        <f aca="false">Inputs!$D$20+(0)</f>
        <v>0.025</v>
      </c>
      <c r="E5" s="48" t="n">
        <f aca="false">Inputs!$D$20+(0.005)</f>
        <v>0.03</v>
      </c>
      <c r="F5" s="48" t="n">
        <f aca="false">Inputs!$D$20+(0.01)</f>
        <v>0.035</v>
      </c>
    </row>
    <row r="6" customFormat="false" ht="15" hidden="false" customHeight="false" outlineLevel="0" collapsed="false">
      <c r="A6" s="29" t="n">
        <v>-0.02</v>
      </c>
      <c r="B6" s="46" t="n">
        <f aca="false">R81</f>
        <v>82.2845691658627</v>
      </c>
      <c r="C6" s="46" t="n">
        <f aca="false">R82</f>
        <v>89.1848460330791</v>
      </c>
      <c r="D6" s="46" t="n">
        <f aca="false">R83</f>
        <v>97.8755057014818</v>
      </c>
      <c r="E6" s="46" t="n">
        <f aca="false">R84</f>
        <v>108.970144653217</v>
      </c>
      <c r="F6" s="46" t="n">
        <f aca="false">R85</f>
        <v>123.920820883173</v>
      </c>
    </row>
    <row r="7" customFormat="false" ht="15" hidden="false" customHeight="false" outlineLevel="0" collapsed="false">
      <c r="A7" s="29" t="n">
        <v>-0.01</v>
      </c>
      <c r="B7" s="46" t="n">
        <f aca="false">R86</f>
        <v>64.301467188016</v>
      </c>
      <c r="C7" s="46" t="n">
        <f aca="false">R87</f>
        <v>68.4426382976012</v>
      </c>
      <c r="D7" s="46" t="n">
        <f aca="false">R88</f>
        <v>73.4389924063701</v>
      </c>
      <c r="E7" s="46" t="n">
        <f aca="false">R89</f>
        <v>79.5594819501335</v>
      </c>
      <c r="F7" s="46" t="n">
        <f aca="false">R90</f>
        <v>87.3088442933017</v>
      </c>
    </row>
    <row r="8" customFormat="false" ht="15" hidden="false" customHeight="false" outlineLevel="0" collapsed="false">
      <c r="A8" s="29" t="n">
        <v>0</v>
      </c>
      <c r="B8" s="46" t="n">
        <f aca="false">R91</f>
        <v>51.6761699469002</v>
      </c>
      <c r="C8" s="46" t="n">
        <f aca="false">R92</f>
        <v>54.3085691825925</v>
      </c>
      <c r="D8" s="59" t="n">
        <f aca="false">R93</f>
        <v>57.3981806172759</v>
      </c>
      <c r="E8" s="46" t="n">
        <f aca="false">R94</f>
        <v>61.075449956797</v>
      </c>
      <c r="F8" s="46" t="n">
        <f aca="false">R95</f>
        <v>65.5256608285348</v>
      </c>
    </row>
    <row r="9" customFormat="false" ht="15" hidden="false" customHeight="false" outlineLevel="0" collapsed="false">
      <c r="A9" s="29" t="n">
        <v>0.01</v>
      </c>
      <c r="B9" s="46" t="n">
        <f aca="false">R96</f>
        <v>42.4006120128348</v>
      </c>
      <c r="C9" s="46" t="n">
        <f aca="false">R97</f>
        <v>44.1581546528582</v>
      </c>
      <c r="D9" s="46" t="n">
        <f aca="false">R98</f>
        <v>46.1757849939579</v>
      </c>
      <c r="E9" s="46" t="n">
        <f aca="false">R99</f>
        <v>48.515849268913</v>
      </c>
      <c r="F9" s="46" t="n">
        <f aca="false">R100</f>
        <v>51.2623511079072</v>
      </c>
    </row>
    <row r="10" customFormat="false" ht="15" hidden="false" customHeight="false" outlineLevel="0" collapsed="false">
      <c r="A10" s="29" t="n">
        <v>0.02</v>
      </c>
      <c r="B10" s="46" t="n">
        <f aca="false">R101</f>
        <v>35.3224173019296</v>
      </c>
      <c r="C10" s="46" t="n">
        <f aca="false">R102</f>
        <v>36.5400804188046</v>
      </c>
      <c r="D10" s="46" t="n">
        <f aca="false">R103</f>
        <v>37.9147094547095</v>
      </c>
      <c r="E10" s="46" t="n">
        <f aca="false">R104</f>
        <v>39.4787465561887</v>
      </c>
      <c r="F10" s="46" t="n">
        <f aca="false">R105</f>
        <v>41.2742356889634</v>
      </c>
    </row>
    <row r="12" customFormat="false" ht="15" hidden="false" customHeight="false" outlineLevel="0" collapsed="false">
      <c r="A12" s="17" t="s">
        <v>683</v>
      </c>
      <c r="D12" s="45" t="n">
        <f aca="false">D8-Calc_Base!$C$109</f>
        <v>0</v>
      </c>
    </row>
    <row r="15" customFormat="false" ht="15" hidden="false" customHeight="false" outlineLevel="0" collapsed="false">
      <c r="A15" s="3" t="s">
        <v>684</v>
      </c>
    </row>
    <row r="16" customFormat="false" ht="15" hidden="false" customHeight="false" outlineLevel="0" collapsed="false">
      <c r="A16" s="17" t="s">
        <v>685</v>
      </c>
    </row>
    <row r="17" customFormat="false" ht="15" hidden="false" customHeight="false" outlineLevel="0" collapsed="false">
      <c r="A17" s="18" t="s">
        <v>686</v>
      </c>
      <c r="B17" s="18" t="s">
        <v>687</v>
      </c>
      <c r="C17" s="18" t="s">
        <v>688</v>
      </c>
      <c r="D17" s="18" t="s">
        <v>689</v>
      </c>
      <c r="E17" s="18" t="s">
        <v>690</v>
      </c>
      <c r="F17" s="18" t="s">
        <v>691</v>
      </c>
    </row>
    <row r="18" customFormat="false" ht="15" hidden="false" customHeight="false" outlineLevel="0" collapsed="false">
      <c r="A18" s="7" t="s">
        <v>242</v>
      </c>
      <c r="B18" s="60" t="n">
        <v>0.0494181035131552</v>
      </c>
      <c r="C18" s="44" t="n">
        <v>16.9984840956806</v>
      </c>
      <c r="D18" s="60" t="n">
        <v>0.202354993192687</v>
      </c>
      <c r="E18" s="44" t="n">
        <v>135.580116359124</v>
      </c>
      <c r="F18" s="44" t="n">
        <v>118.581632263443</v>
      </c>
    </row>
    <row r="19" customFormat="false" ht="15" hidden="false" customHeight="false" outlineLevel="0" collapsed="false">
      <c r="A19" s="7" t="s">
        <v>104</v>
      </c>
      <c r="B19" s="60" t="n">
        <v>-0.012815515655446</v>
      </c>
      <c r="C19" s="44" t="n">
        <v>79.21253732677</v>
      </c>
      <c r="D19" s="60" t="n">
        <v>0.012815515655446</v>
      </c>
      <c r="E19" s="44" t="n">
        <v>43.6050301365517</v>
      </c>
      <c r="F19" s="44" t="n">
        <v>35.6075071902182</v>
      </c>
    </row>
    <row r="20" customFormat="false" ht="15" hidden="false" customHeight="false" outlineLevel="0" collapsed="false">
      <c r="A20" s="7" t="s">
        <v>250</v>
      </c>
      <c r="B20" s="60" t="n">
        <v>4.17082039324994</v>
      </c>
      <c r="C20" s="44" t="n">
        <v>44.2684509500135</v>
      </c>
      <c r="D20" s="60" t="n">
        <v>5.82917960675006</v>
      </c>
      <c r="E20" s="44" t="n">
        <v>70.4941022167608</v>
      </c>
      <c r="F20" s="44" t="n">
        <v>26.2256512667473</v>
      </c>
    </row>
    <row r="21" customFormat="false" ht="15" hidden="false" customHeight="false" outlineLevel="0" collapsed="false">
      <c r="A21" s="7" t="s">
        <v>245</v>
      </c>
      <c r="B21" s="60" t="n">
        <v>0.0122326827744849</v>
      </c>
      <c r="C21" s="44" t="n">
        <v>51.6069850201656</v>
      </c>
      <c r="D21" s="60" t="n">
        <v>0.0735733948629183</v>
      </c>
      <c r="E21" s="44" t="n">
        <v>71.5886783333927</v>
      </c>
      <c r="F21" s="44" t="n">
        <v>19.9816933132271</v>
      </c>
    </row>
    <row r="22" customFormat="false" ht="15" hidden="false" customHeight="false" outlineLevel="0" collapsed="false">
      <c r="A22" s="7" t="s">
        <v>257</v>
      </c>
      <c r="B22" s="60" t="n">
        <v>-0.027</v>
      </c>
      <c r="C22" s="44" t="n">
        <v>50.4061235171761</v>
      </c>
      <c r="D22" s="60" t="n">
        <v>-0.003</v>
      </c>
      <c r="E22" s="44" t="n">
        <v>60.4129568788135</v>
      </c>
      <c r="F22" s="44" t="n">
        <v>10.0068333616374</v>
      </c>
    </row>
    <row r="23" customFormat="false" ht="15" hidden="false" customHeight="false" outlineLevel="0" collapsed="false">
      <c r="A23" s="7" t="s">
        <v>692</v>
      </c>
      <c r="B23" s="60" t="n">
        <v>0</v>
      </c>
      <c r="C23" s="44" t="n">
        <v>57.3981806172759</v>
      </c>
      <c r="D23" s="60" t="n">
        <v>2</v>
      </c>
      <c r="E23" s="44" t="n">
        <v>47.9238103851471</v>
      </c>
      <c r="F23" s="44" t="n">
        <v>9.47437023212883</v>
      </c>
    </row>
    <row r="24" customFormat="false" ht="15" hidden="false" customHeight="false" outlineLevel="0" collapsed="false">
      <c r="A24" s="7" t="s">
        <v>693</v>
      </c>
      <c r="B24" s="60" t="n">
        <v>0.825114813186398</v>
      </c>
      <c r="C24" s="44" t="n">
        <v>60.4380204847591</v>
      </c>
      <c r="D24" s="60" t="n">
        <v>1.21195254771665</v>
      </c>
      <c r="E24" s="44" t="n">
        <v>53.7140389452291</v>
      </c>
      <c r="F24" s="44" t="n">
        <v>6.72398153953002</v>
      </c>
    </row>
    <row r="25" customFormat="false" ht="15" hidden="false" customHeight="false" outlineLevel="0" collapsed="false">
      <c r="A25" s="7" t="s">
        <v>260</v>
      </c>
      <c r="B25" s="60" t="n">
        <v>0.097</v>
      </c>
      <c r="C25" s="44" t="n">
        <v>59.9918391378307</v>
      </c>
      <c r="D25" s="60" t="n">
        <v>0.153</v>
      </c>
      <c r="E25" s="44" t="n">
        <v>53.6768444790886</v>
      </c>
      <c r="F25" s="44" t="n">
        <v>6.31499465874209</v>
      </c>
    </row>
    <row r="26" customFormat="false" ht="15" hidden="false" customHeight="false" outlineLevel="0" collapsed="false">
      <c r="A26" s="7" t="s">
        <v>107</v>
      </c>
      <c r="B26" s="60" t="n">
        <v>0.0188729833462074</v>
      </c>
      <c r="C26" s="44" t="n">
        <v>53.6791427770151</v>
      </c>
      <c r="D26" s="60" t="n">
        <v>0.0272613872124742</v>
      </c>
      <c r="E26" s="44" t="n">
        <v>58.9789831554607</v>
      </c>
      <c r="F26" s="44" t="n">
        <v>5.29984037844562</v>
      </c>
    </row>
    <row r="27" customFormat="false" ht="15" hidden="false" customHeight="false" outlineLevel="0" collapsed="false">
      <c r="A27" s="7" t="s">
        <v>254</v>
      </c>
      <c r="B27" s="60" t="n">
        <v>0.556524758424985</v>
      </c>
      <c r="C27" s="44" t="n">
        <v>54.8756771848499</v>
      </c>
      <c r="D27" s="60" t="n">
        <v>0.943475241575015</v>
      </c>
      <c r="E27" s="44" t="n">
        <v>59.9201178382518</v>
      </c>
      <c r="F27" s="44" t="n">
        <v>5.04444065340188</v>
      </c>
    </row>
    <row r="28" customFormat="false" ht="15" hidden="false" customHeight="false" outlineLevel="0" collapsed="false">
      <c r="A28" s="7" t="s">
        <v>694</v>
      </c>
      <c r="B28" s="60" t="n">
        <v>0.638557822348792</v>
      </c>
      <c r="C28" s="44" t="n">
        <v>55.4332878590044</v>
      </c>
      <c r="D28" s="60" t="n">
        <v>1.5660288935491</v>
      </c>
      <c r="E28" s="44" t="n">
        <v>60.4702189982043</v>
      </c>
      <c r="F28" s="44" t="n">
        <v>5.0369311391999</v>
      </c>
    </row>
    <row r="29" customFormat="false" ht="15" hidden="false" customHeight="false" outlineLevel="0" collapsed="false">
      <c r="A29" s="7" t="s">
        <v>125</v>
      </c>
      <c r="B29" s="60" t="n">
        <v>6</v>
      </c>
      <c r="C29" s="44" t="n">
        <v>55.5078593950361</v>
      </c>
      <c r="D29" s="60" t="n">
        <v>8</v>
      </c>
      <c r="E29" s="44" t="n">
        <v>58.3882448492285</v>
      </c>
      <c r="F29" s="44" t="n">
        <v>2.88038545419244</v>
      </c>
    </row>
    <row r="30" customFormat="false" ht="15" hidden="false" customHeight="false" outlineLevel="0" collapsed="false">
      <c r="A30" s="7" t="s">
        <v>228</v>
      </c>
      <c r="B30" s="60" t="n">
        <v>21.1832159566199</v>
      </c>
      <c r="C30" s="44" t="n">
        <v>57.7647592761518</v>
      </c>
      <c r="D30" s="60" t="n">
        <v>25.129171306613</v>
      </c>
      <c r="E30" s="44" t="n">
        <v>55.9937856241709</v>
      </c>
      <c r="F30" s="44" t="n">
        <v>1.77097365198097</v>
      </c>
    </row>
    <row r="31" customFormat="false" ht="15" hidden="false" customHeight="false" outlineLevel="0" collapsed="false">
      <c r="A31" s="7" t="s">
        <v>233</v>
      </c>
      <c r="B31" s="60" t="n">
        <v>0.3</v>
      </c>
      <c r="C31" s="44" t="n">
        <v>56.6107736179989</v>
      </c>
      <c r="D31" s="60" t="n">
        <v>0.7</v>
      </c>
      <c r="E31" s="44" t="n">
        <v>58.1855876165529</v>
      </c>
      <c r="F31" s="44" t="n">
        <v>1.57481399855401</v>
      </c>
    </row>
    <row r="32" customFormat="false" ht="15" hidden="false" customHeight="false" outlineLevel="0" collapsed="false">
      <c r="A32" s="17" t="s">
        <v>695</v>
      </c>
    </row>
    <row r="34" customFormat="false" ht="15" hidden="false" customHeight="false" outlineLevel="0" collapsed="false">
      <c r="A34" s="3" t="s">
        <v>696</v>
      </c>
    </row>
    <row r="35" customFormat="false" ht="15" hidden="false" customHeight="false" outlineLevel="0" collapsed="false">
      <c r="A35" s="17" t="s">
        <v>685</v>
      </c>
    </row>
    <row r="36" customFormat="false" ht="15" hidden="false" customHeight="false" outlineLevel="0" collapsed="false">
      <c r="A36" s="17" t="s">
        <v>697</v>
      </c>
      <c r="B36" s="61" t="n">
        <v>3.5</v>
      </c>
      <c r="C36" s="61" t="n">
        <v>4</v>
      </c>
      <c r="D36" s="61" t="n">
        <v>4.5</v>
      </c>
      <c r="E36" s="61" t="n">
        <v>5</v>
      </c>
      <c r="F36" s="61" t="n">
        <v>5.5</v>
      </c>
      <c r="G36" s="61" t="n">
        <v>6</v>
      </c>
      <c r="H36" s="61" t="n">
        <v>6.5</v>
      </c>
    </row>
    <row r="37" customFormat="false" ht="15" hidden="false" customHeight="false" outlineLevel="0" collapsed="false">
      <c r="A37" s="62" t="n">
        <v>0.04</v>
      </c>
      <c r="B37" s="44" t="n">
        <v>0</v>
      </c>
      <c r="C37" s="44" t="n">
        <v>2.33813865943304</v>
      </c>
      <c r="D37" s="44" t="n">
        <v>5.94298603786812</v>
      </c>
      <c r="E37" s="44" t="n">
        <v>9.27766057323423</v>
      </c>
      <c r="F37" s="44" t="n">
        <v>12.5709018908505</v>
      </c>
      <c r="G37" s="44" t="n">
        <v>15.8426852274705</v>
      </c>
      <c r="H37" s="44" t="n">
        <v>19.0993256897448</v>
      </c>
    </row>
    <row r="38" customFormat="false" ht="15" hidden="false" customHeight="false" outlineLevel="0" collapsed="false">
      <c r="A38" s="62" t="n">
        <v>0.06</v>
      </c>
      <c r="B38" s="44" t="n">
        <v>10.9259482120751</v>
      </c>
      <c r="C38" s="44" t="n">
        <v>15.8426852274705</v>
      </c>
      <c r="D38" s="44" t="n">
        <v>20.7210722544137</v>
      </c>
      <c r="E38" s="44" t="n">
        <v>25.5734364053119</v>
      </c>
      <c r="F38" s="44" t="n">
        <v>30.3916064402048</v>
      </c>
      <c r="G38" s="44" t="n">
        <v>35.18958092423</v>
      </c>
      <c r="H38" s="44" t="n">
        <v>39.9675774650849</v>
      </c>
    </row>
    <row r="39" customFormat="false" ht="15" hidden="false" customHeight="false" outlineLevel="0" collapsed="false">
      <c r="A39" s="62" t="n">
        <v>0.08</v>
      </c>
      <c r="B39" s="44" t="n">
        <v>22.3428188190827</v>
      </c>
      <c r="C39" s="44" t="n">
        <v>28.7886327061104</v>
      </c>
      <c r="D39" s="44" t="n">
        <v>35.18958092423</v>
      </c>
      <c r="E39" s="44" t="n">
        <v>41.5565389111697</v>
      </c>
      <c r="F39" s="44" t="n">
        <v>47.9048903147425</v>
      </c>
      <c r="G39" s="44" t="n">
        <v>54.2337505164314</v>
      </c>
      <c r="H39" s="44" t="n">
        <v>60.5584069749663</v>
      </c>
    </row>
    <row r="40" customFormat="false" ht="15" hidden="false" customHeight="false" outlineLevel="0" collapsed="false">
      <c r="A40" s="62" t="n">
        <v>0.1</v>
      </c>
      <c r="B40" s="44" t="n">
        <v>33.5902560962216</v>
      </c>
      <c r="C40" s="44" t="n">
        <v>41.5565389111697</v>
      </c>
      <c r="D40" s="44" t="n">
        <v>49.4871053651647</v>
      </c>
      <c r="E40" s="44" t="n">
        <v>57.3981806172759</v>
      </c>
      <c r="F40" s="44" t="n">
        <v>65.2958595887514</v>
      </c>
      <c r="G40" s="44" t="n">
        <v>73.1752439555191</v>
      </c>
      <c r="H40" s="44" t="n">
        <v>80.9628324272748</v>
      </c>
    </row>
    <row r="41" customFormat="false" ht="15" hidden="false" customHeight="false" outlineLevel="0" collapsed="false">
      <c r="A41" s="62" t="n">
        <v>0.12</v>
      </c>
      <c r="B41" s="44" t="n">
        <v>44.7317008309481</v>
      </c>
      <c r="C41" s="44" t="n">
        <v>54.2337505164314</v>
      </c>
      <c r="D41" s="44" t="n">
        <v>63.7167087174897</v>
      </c>
      <c r="E41" s="44" t="n">
        <v>73.1752439555191</v>
      </c>
      <c r="F41" s="44" t="n">
        <v>82.5203501216259</v>
      </c>
      <c r="G41" s="44" t="n">
        <v>91.8599242488278</v>
      </c>
      <c r="H41" s="44" t="n">
        <v>101.055257727501</v>
      </c>
    </row>
    <row r="42" customFormat="false" ht="15" hidden="false" customHeight="false" outlineLevel="0" collapsed="false">
      <c r="A42" s="62" t="n">
        <v>0.15</v>
      </c>
      <c r="B42" s="44" t="n">
        <v>61.3479824105972</v>
      </c>
      <c r="C42" s="44" t="n">
        <v>73.1752439555191</v>
      </c>
      <c r="D42" s="44" t="n">
        <v>84.8566266631526</v>
      </c>
      <c r="E42" s="44" t="n">
        <v>96.5214838331002</v>
      </c>
      <c r="F42" s="44" t="n">
        <v>107.847445901658</v>
      </c>
      <c r="G42" s="44" t="n">
        <v>119.102913539852</v>
      </c>
      <c r="H42" s="44" t="n">
        <v>130.158968898882</v>
      </c>
    </row>
    <row r="43" customFormat="false" ht="15" hidden="false" customHeight="false" outlineLevel="0" collapsed="false">
      <c r="A43" s="62" t="n">
        <v>0.2</v>
      </c>
      <c r="B43" s="44" t="n">
        <v>88.7479050457516</v>
      </c>
      <c r="C43" s="44" t="n">
        <v>104.074008027127</v>
      </c>
      <c r="D43" s="44" t="n">
        <v>119.102913539852</v>
      </c>
      <c r="E43" s="44" t="n">
        <v>133.844320685225</v>
      </c>
      <c r="F43" s="44" t="n">
        <v>148.585727830598</v>
      </c>
      <c r="G43" s="44" t="n">
        <v>162.867783794815</v>
      </c>
      <c r="H43" s="44" t="n">
        <v>177.127548226594</v>
      </c>
    </row>
    <row r="45" customFormat="false" ht="15" hidden="false" customHeight="false" outlineLevel="0" collapsed="false">
      <c r="A45" s="3" t="s">
        <v>698</v>
      </c>
    </row>
    <row r="46" customFormat="false" ht="15" hidden="false" customHeight="false" outlineLevel="0" collapsed="false">
      <c r="A46" s="17" t="s">
        <v>685</v>
      </c>
    </row>
    <row r="47" customFormat="false" ht="15" hidden="false" customHeight="false" outlineLevel="0" collapsed="false">
      <c r="A47" s="17" t="s">
        <v>699</v>
      </c>
      <c r="B47" s="62" t="n">
        <v>0.25</v>
      </c>
      <c r="C47" s="62" t="n">
        <v>0.4</v>
      </c>
      <c r="D47" s="62" t="n">
        <v>0.5</v>
      </c>
      <c r="E47" s="62" t="n">
        <v>0.6</v>
      </c>
      <c r="F47" s="62" t="n">
        <v>0.75</v>
      </c>
    </row>
    <row r="48" customFormat="false" ht="15" hidden="false" customHeight="false" outlineLevel="0" collapsed="false">
      <c r="A48" s="63" t="n">
        <v>20</v>
      </c>
      <c r="B48" s="44" t="n">
        <v>57.3095961961393</v>
      </c>
      <c r="C48" s="44" t="n">
        <v>57.9020917609375</v>
      </c>
      <c r="D48" s="44" t="n">
        <v>58.295795260576</v>
      </c>
      <c r="E48" s="44" t="n">
        <v>58.6894987602145</v>
      </c>
      <c r="F48" s="44" t="n">
        <v>59.2556132823858</v>
      </c>
    </row>
    <row r="49" customFormat="false" ht="15" hidden="false" customHeight="false" outlineLevel="0" collapsed="false">
      <c r="A49" s="63" t="n">
        <v>22</v>
      </c>
      <c r="B49" s="44" t="n">
        <v>56.4042422655254</v>
      </c>
      <c r="C49" s="44" t="n">
        <v>57.0044771176374</v>
      </c>
      <c r="D49" s="44" t="n">
        <v>57.3981806172759</v>
      </c>
      <c r="E49" s="44" t="n">
        <v>57.7918841169144</v>
      </c>
      <c r="F49" s="44" t="n">
        <v>58.3824393663722</v>
      </c>
    </row>
    <row r="50" customFormat="false" ht="15" hidden="false" customHeight="false" outlineLevel="0" collapsed="false">
      <c r="A50" s="63" t="n">
        <v>24</v>
      </c>
      <c r="B50" s="44" t="n">
        <v>55.4988883349115</v>
      </c>
      <c r="C50" s="44" t="n">
        <v>56.1068624743374</v>
      </c>
      <c r="D50" s="44" t="n">
        <v>56.5005659739759</v>
      </c>
      <c r="E50" s="44" t="n">
        <v>56.8942694736144</v>
      </c>
      <c r="F50" s="44" t="n">
        <v>57.4848247230721</v>
      </c>
    </row>
    <row r="51" customFormat="false" ht="15" hidden="false" customHeight="false" outlineLevel="0" collapsed="false">
      <c r="A51" s="63" t="n">
        <v>26</v>
      </c>
      <c r="B51" s="44" t="n">
        <v>54.5935344042977</v>
      </c>
      <c r="C51" s="44" t="n">
        <v>55.2092478310374</v>
      </c>
      <c r="D51" s="44" t="n">
        <v>55.6029513306759</v>
      </c>
      <c r="E51" s="44" t="n">
        <v>55.9966548303144</v>
      </c>
      <c r="F51" s="44" t="n">
        <v>56.5872100797721</v>
      </c>
    </row>
    <row r="52" customFormat="false" ht="15" hidden="false" customHeight="false" outlineLevel="0" collapsed="false">
      <c r="A52" s="63" t="n">
        <v>28</v>
      </c>
      <c r="B52" s="44" t="n">
        <v>53.6881804736838</v>
      </c>
      <c r="C52" s="44" t="n">
        <v>54.3116331877373</v>
      </c>
      <c r="D52" s="44" t="n">
        <v>54.7053366873758</v>
      </c>
      <c r="E52" s="44" t="n">
        <v>55.0990401870143</v>
      </c>
      <c r="F52" s="44" t="n">
        <v>55.6895954364721</v>
      </c>
    </row>
    <row r="54" customFormat="false" ht="15" hidden="false" customHeight="false" outlineLevel="0" collapsed="false">
      <c r="A54" s="3" t="s">
        <v>700</v>
      </c>
    </row>
    <row r="55" customFormat="false" ht="15" hidden="false" customHeight="false" outlineLevel="0" collapsed="false">
      <c r="A55" s="7" t="s">
        <v>701</v>
      </c>
      <c r="E55" s="64" t="n">
        <v>0.106357713957435</v>
      </c>
    </row>
    <row r="56" customFormat="false" ht="15" hidden="false" customHeight="false" outlineLevel="0" collapsed="false">
      <c r="A56" s="7" t="s">
        <v>702</v>
      </c>
      <c r="E56" s="65" t="n">
        <v>-0.0035595246963538</v>
      </c>
    </row>
    <row r="57" customFormat="false" ht="15" hidden="false" customHeight="false" outlineLevel="0" collapsed="false">
      <c r="A57" s="7" t="s">
        <v>703</v>
      </c>
      <c r="E57" s="65" t="n">
        <v>0.0999371929183691</v>
      </c>
    </row>
    <row r="58" customFormat="false" ht="15" hidden="false" customHeight="false" outlineLevel="0" collapsed="false">
      <c r="A58" s="7" t="s">
        <v>704</v>
      </c>
      <c r="E58" s="65" t="n">
        <v>0.0790154753036462</v>
      </c>
    </row>
    <row r="59" customFormat="false" ht="15" hidden="false" customHeight="false" outlineLevel="0" collapsed="false">
      <c r="A59" s="7" t="s">
        <v>705</v>
      </c>
      <c r="E59" s="27" t="n">
        <v>1.13701026769201</v>
      </c>
    </row>
    <row r="60" customFormat="false" ht="15" hidden="false" customHeight="false" outlineLevel="0" collapsed="false">
      <c r="A60" s="7" t="str">
        <f aca="false">"WACC+"&amp;TEXT(A6,"0.0%")</f>
        <v>WACC+-2.0%</v>
      </c>
      <c r="B60" s="48" t="n">
        <f aca="false">Calc_Base!D71+$A$6</f>
        <v>0.0834967176147229</v>
      </c>
      <c r="C60" s="48" t="n">
        <f aca="false">Calc_Base!E71+$A$6</f>
        <v>0.0834967176147229</v>
      </c>
      <c r="D60" s="48" t="n">
        <f aca="false">Calc_Base!F71+$A$6</f>
        <v>0.0834967176147229</v>
      </c>
      <c r="E60" s="48" t="n">
        <f aca="false">Calc_Base!G71+$A$6</f>
        <v>0.0834967176147229</v>
      </c>
      <c r="F60" s="48" t="n">
        <f aca="false">Calc_Base!H71+$A$6</f>
        <v>0.0834967176147229</v>
      </c>
      <c r="G60" s="48" t="n">
        <f aca="false">Calc_Base!I71+$A$6</f>
        <v>0.0793123740917783</v>
      </c>
      <c r="H60" s="48" t="n">
        <f aca="false">Calc_Base!J71+$A$6</f>
        <v>0.0751280305688337</v>
      </c>
      <c r="I60" s="48" t="n">
        <f aca="false">Calc_Base!K71+$A$6</f>
        <v>0.0709436870458892</v>
      </c>
      <c r="J60" s="48" t="n">
        <f aca="false">Calc_Base!L71+$A$6</f>
        <v>0.0667593435229446</v>
      </c>
      <c r="K60" s="48" t="n">
        <f aca="false">Calc_Base!M71+$A$6</f>
        <v>0.062575</v>
      </c>
      <c r="L60" s="48" t="n">
        <f aca="false">Calc_Base!N71+$A$6</f>
        <v>0.062575</v>
      </c>
      <c r="M60" s="48" t="n">
        <f aca="false">Calc_Base!O71+$A$6</f>
        <v>0.062575</v>
      </c>
      <c r="N60" s="48" t="n">
        <f aca="false">Calc_Base!P71+$A$6</f>
        <v>0.062575</v>
      </c>
      <c r="O60" s="48" t="n">
        <f aca="false">Calc_Base!Q71+$A$6</f>
        <v>0.062575</v>
      </c>
      <c r="P60" s="48" t="n">
        <f aca="false">Calc_Base!R71+$A$6</f>
        <v>0.062575</v>
      </c>
    </row>
    <row r="61" customFormat="false" ht="15" hidden="false" customHeight="false" outlineLevel="0" collapsed="false">
      <c r="B61" s="45" t="n">
        <f aca="false">(1+B60)^(Calc_Base!D8+Calc_Base!D7-Inputs!$D$6)</f>
        <v>1.02517157506973</v>
      </c>
      <c r="C61" s="45" t="n">
        <f aca="false">B61*(1+C60)^Calc_Base!E7</f>
        <v>1.11077003657997</v>
      </c>
      <c r="D61" s="45" t="n">
        <f aca="false">C61*(1+D60)^Calc_Base!F7</f>
        <v>1.20351568865918</v>
      </c>
      <c r="E61" s="45" t="n">
        <f aca="false">D61*(1+E60)^Calc_Base!G7</f>
        <v>1.30400529826005</v>
      </c>
      <c r="F61" s="45" t="n">
        <f aca="false">E61*(1+F60)^Calc_Base!H7</f>
        <v>1.41288546041697</v>
      </c>
      <c r="G61" s="45" t="n">
        <f aca="false">F61*(1+G60)^Calc_Base!I7</f>
        <v>1.52494476060239</v>
      </c>
      <c r="H61" s="45" t="n">
        <f aca="false">G61*(1+H60)^Calc_Base!J7</f>
        <v>1.63951085719271</v>
      </c>
      <c r="I61" s="45" t="n">
        <f aca="false">H61*(1+I60)^Calc_Base!K7</f>
        <v>1.75582380235373</v>
      </c>
      <c r="J61" s="45" t="n">
        <f aca="false">I61*(1+J60)^Calc_Base!L7</f>
        <v>1.87304144674082</v>
      </c>
      <c r="K61" s="45" t="n">
        <f aca="false">J61*(1+K60)^Calc_Base!M7</f>
        <v>1.99024701527063</v>
      </c>
      <c r="L61" s="45" t="n">
        <f aca="false">K61*(1+L60)^Calc_Base!N7</f>
        <v>2.11478672225119</v>
      </c>
      <c r="M61" s="45" t="n">
        <f aca="false">L61*(1+M60)^Calc_Base!O7</f>
        <v>2.24711950139606</v>
      </c>
      <c r="N61" s="45" t="n">
        <f aca="false">M61*(1+N60)^Calc_Base!P7</f>
        <v>2.38773300419592</v>
      </c>
      <c r="O61" s="45" t="n">
        <f aca="false">N61*(1+O60)^Calc_Base!Q7</f>
        <v>2.53714539693348</v>
      </c>
      <c r="P61" s="45" t="n">
        <f aca="false">O61*(1+P60)^Calc_Base!R7</f>
        <v>2.69590727014659</v>
      </c>
    </row>
    <row r="62" customFormat="false" ht="15" hidden="false" customHeight="false" outlineLevel="0" collapsed="false">
      <c r="B62" s="45" t="n">
        <f aca="false">1/(1+B60)^(Calc_Base!D9-Inputs!$D$6)</f>
        <v>0.99519994650156</v>
      </c>
      <c r="C62" s="45" t="n">
        <f aca="false">1/(B61*(1+C60)^(Calc_Base!E7/2))</f>
        <v>0.937107996943237</v>
      </c>
      <c r="D62" s="45" t="n">
        <f aca="false">1/(C61*(1+D60)^(Calc_Base!F7/2))</f>
        <v>0.864892326583365</v>
      </c>
      <c r="E62" s="45" t="n">
        <f aca="false">1/(D61*(1+E60)^(Calc_Base!G7/2))</f>
        <v>0.798241759778832</v>
      </c>
      <c r="F62" s="45" t="n">
        <f aca="false">1/(E61*(1+F60)^(Calc_Base!H7/2))</f>
        <v>0.736727437011652</v>
      </c>
      <c r="G62" s="45" t="n">
        <f aca="false">1/(F61*(1+G60)^(Calc_Base!I7/2))</f>
        <v>0.681270315185098</v>
      </c>
      <c r="H62" s="45" t="n">
        <f aca="false">1/(G61*(1+H60)^(Calc_Base!J7/2))</f>
        <v>0.632434852811177</v>
      </c>
      <c r="I62" s="45" t="n">
        <f aca="false">1/(H61*(1+I60)^(Calc_Base!K7/2))</f>
        <v>0.589389487550862</v>
      </c>
      <c r="J62" s="45" t="n">
        <f aca="false">1/(I61*(1+J60)^(Calc_Base!L7/2))</f>
        <v>0.551424223314135</v>
      </c>
      <c r="K62" s="45" t="n">
        <f aca="false">1/(J61*(1+K60)^(Calc_Base!M7/2))</f>
        <v>0.517932084910585</v>
      </c>
      <c r="L62" s="45" t="n">
        <f aca="false">1/(K61*(1+L60)^(Calc_Base!N7/2))</f>
        <v>0.487431084780449</v>
      </c>
      <c r="M62" s="45" t="n">
        <f aca="false">1/(L61*(1+M60)^(Calc_Base!O7/2))</f>
        <v>0.45872628734955</v>
      </c>
      <c r="N62" s="45" t="n">
        <f aca="false">1/(M61*(1+N60)^(Calc_Base!P7/2))</f>
        <v>0.431711914311508</v>
      </c>
      <c r="O62" s="45" t="n">
        <f aca="false">1/(N61*(1+O60)^(Calc_Base!Q7/2))</f>
        <v>0.406288416640244</v>
      </c>
      <c r="P62" s="45" t="n">
        <f aca="false">1/(O61*(1+P60)^(Calc_Base!R7/2))</f>
        <v>0.382362107747918</v>
      </c>
    </row>
    <row r="63" customFormat="false" ht="15" hidden="false" customHeight="false" outlineLevel="0" collapsed="false">
      <c r="A63" s="7" t="str">
        <f aca="false">"WACC+"&amp;TEXT(A7,"0.0%")</f>
        <v>WACC+-1.0%</v>
      </c>
      <c r="B63" s="48" t="n">
        <f aca="false">Calc_Base!D71+$A$7</f>
        <v>0.0934967176147229</v>
      </c>
      <c r="C63" s="48" t="n">
        <f aca="false">Calc_Base!E71+$A$7</f>
        <v>0.0934967176147229</v>
      </c>
      <c r="D63" s="48" t="n">
        <f aca="false">Calc_Base!F71+$A$7</f>
        <v>0.0934967176147229</v>
      </c>
      <c r="E63" s="48" t="n">
        <f aca="false">Calc_Base!G71+$A$7</f>
        <v>0.0934967176147229</v>
      </c>
      <c r="F63" s="48" t="n">
        <f aca="false">Calc_Base!H71+$A$7</f>
        <v>0.0934967176147229</v>
      </c>
      <c r="G63" s="48" t="n">
        <f aca="false">Calc_Base!I71+$A$7</f>
        <v>0.0893123740917783</v>
      </c>
      <c r="H63" s="48" t="n">
        <f aca="false">Calc_Base!J71+$A$7</f>
        <v>0.0851280305688338</v>
      </c>
      <c r="I63" s="48" t="n">
        <f aca="false">Calc_Base!K71+$A$7</f>
        <v>0.0809436870458892</v>
      </c>
      <c r="J63" s="48" t="n">
        <f aca="false">Calc_Base!L71+$A$7</f>
        <v>0.0767593435229446</v>
      </c>
      <c r="K63" s="48" t="n">
        <f aca="false">Calc_Base!M71+$A$7</f>
        <v>0.072575</v>
      </c>
      <c r="L63" s="48" t="n">
        <f aca="false">Calc_Base!N71+$A$7</f>
        <v>0.072575</v>
      </c>
      <c r="M63" s="48" t="n">
        <f aca="false">Calc_Base!O71+$A$7</f>
        <v>0.072575</v>
      </c>
      <c r="N63" s="48" t="n">
        <f aca="false">Calc_Base!P71+$A$7</f>
        <v>0.072575</v>
      </c>
      <c r="O63" s="48" t="n">
        <f aca="false">Calc_Base!Q71+$A$7</f>
        <v>0.072575</v>
      </c>
      <c r="P63" s="48" t="n">
        <f aca="false">Calc_Base!R71+$A$7</f>
        <v>0.072575</v>
      </c>
    </row>
    <row r="64" customFormat="false" ht="15" hidden="false" customHeight="false" outlineLevel="0" collapsed="false">
      <c r="B64" s="45" t="n">
        <f aca="false">(1+B63)^(Calc_Base!D8+Calc_Base!D7-Inputs!$D$6)</f>
        <v>1.02809540938887</v>
      </c>
      <c r="C64" s="45" t="n">
        <f aca="false">B64*(1+C63)^Calc_Base!E7</f>
        <v>1.12421895556149</v>
      </c>
      <c r="D64" s="45" t="n">
        <f aca="false">C64*(1+D63)^Calc_Base!F7</f>
        <v>1.22932973778674</v>
      </c>
      <c r="E64" s="45" t="n">
        <f aca="false">D64*(1+E63)^Calc_Base!G7</f>
        <v>1.34426803313597</v>
      </c>
      <c r="F64" s="45" t="n">
        <f aca="false">E64*(1+F63)^Calc_Base!H7</f>
        <v>1.46995268182858</v>
      </c>
      <c r="G64" s="45" t="n">
        <f aca="false">F64*(1+G63)^Calc_Base!I7</f>
        <v>1.60123764564527</v>
      </c>
      <c r="H64" s="45" t="n">
        <f aca="false">G64*(1+H63)^Calc_Base!J7</f>
        <v>1.73754785289173</v>
      </c>
      <c r="I64" s="45" t="n">
        <f aca="false">H64*(1+I63)^Calc_Base!K7</f>
        <v>1.87819138252345</v>
      </c>
      <c r="J64" s="45" t="n">
        <f aca="false">I64*(1+J63)^Calc_Base!L7</f>
        <v>2.02236012005641</v>
      </c>
      <c r="K64" s="45" t="n">
        <f aca="false">J64*(1+K63)^Calc_Base!M7</f>
        <v>2.1691329057695</v>
      </c>
      <c r="L64" s="45" t="n">
        <f aca="false">K64*(1+L63)^Calc_Base!N7</f>
        <v>2.32655772640572</v>
      </c>
      <c r="M64" s="45" t="n">
        <f aca="false">L64*(1+M63)^Calc_Base!O7</f>
        <v>2.49540765339962</v>
      </c>
      <c r="N64" s="45" t="n">
        <f aca="false">M64*(1+N63)^Calc_Base!P7</f>
        <v>2.6765118638451</v>
      </c>
      <c r="O64" s="45" t="n">
        <f aca="false">N64*(1+O63)^Calc_Base!Q7</f>
        <v>2.87075971236365</v>
      </c>
      <c r="P64" s="45" t="n">
        <f aca="false">O64*(1+P63)^Calc_Base!R7</f>
        <v>3.07910509848845</v>
      </c>
    </row>
    <row r="65" customFormat="false" ht="15" hidden="false" customHeight="false" outlineLevel="0" collapsed="false">
      <c r="B65" s="45" t="n">
        <f aca="false">1/(1+B63)^(Calc_Base!D9-Inputs!$D$6)</f>
        <v>0.994651520756151</v>
      </c>
      <c r="C65" s="45" t="n">
        <f aca="false">1/(B64*(1+C63)^(Calc_Base!E7/2))</f>
        <v>0.930160382763565</v>
      </c>
      <c r="D65" s="45" t="n">
        <f aca="false">1/(C64*(1+D63)^(Calc_Base!F7/2))</f>
        <v>0.850629332287847</v>
      </c>
      <c r="E65" s="45" t="n">
        <f aca="false">1/(D64*(1+E63)^(Calc_Base!G7/2))</f>
        <v>0.777898386511256</v>
      </c>
      <c r="F65" s="45" t="n">
        <f aca="false">1/(E64*(1+F63)^(Calc_Base!H7/2))</f>
        <v>0.711386119391477</v>
      </c>
      <c r="G65" s="45" t="n">
        <f aca="false">1/(F64*(1+G63)^(Calc_Base!I7/2))</f>
        <v>0.651809110716155</v>
      </c>
      <c r="H65" s="45" t="n">
        <f aca="false">1/(G64*(1+H63)^(Calc_Base!J7/2))</f>
        <v>0.599520056896934</v>
      </c>
      <c r="I65" s="45" t="n">
        <f aca="false">1/(H64*(1+I63)^(Calc_Base!K7/2))</f>
        <v>0.553556164041162</v>
      </c>
      <c r="J65" s="45" t="n">
        <f aca="false">1/(I64*(1+J63)^(Calc_Base!L7/2))</f>
        <v>0.513098602622624</v>
      </c>
      <c r="K65" s="45" t="n">
        <f aca="false">1/(J64*(1+K63)^(Calc_Base!M7/2))</f>
        <v>0.477449752301459</v>
      </c>
      <c r="L65" s="45" t="n">
        <f aca="false">1/(K64*(1+L63)^(Calc_Base!N7/2))</f>
        <v>0.445143465306817</v>
      </c>
      <c r="M65" s="45" t="n">
        <f aca="false">1/(L64*(1+M63)^(Calc_Base!O7/2))</f>
        <v>0.415023159505691</v>
      </c>
      <c r="N65" s="45" t="n">
        <f aca="false">1/(M64*(1+N63)^(Calc_Base!P7/2))</f>
        <v>0.386940922085347</v>
      </c>
      <c r="O65" s="45" t="n">
        <f aca="false">1/(N64*(1+O63)^(Calc_Base!Q7/2))</f>
        <v>0.36075884864494</v>
      </c>
      <c r="P65" s="45" t="n">
        <f aca="false">1/(O64*(1+P63)^(Calc_Base!R7/2))</f>
        <v>0.336348365983675</v>
      </c>
    </row>
    <row r="66" customFormat="false" ht="15" hidden="false" customHeight="false" outlineLevel="0" collapsed="false">
      <c r="A66" s="7" t="str">
        <f aca="false">"WACC+"&amp;TEXT(A8,"0.0%")</f>
        <v>WACC+0.0%</v>
      </c>
      <c r="B66" s="48" t="n">
        <f aca="false">Calc_Base!D71+$A$8</f>
        <v>0.103496717614723</v>
      </c>
      <c r="C66" s="48" t="n">
        <f aca="false">Calc_Base!E71+$A$8</f>
        <v>0.103496717614723</v>
      </c>
      <c r="D66" s="48" t="n">
        <f aca="false">Calc_Base!F71+$A$8</f>
        <v>0.103496717614723</v>
      </c>
      <c r="E66" s="48" t="n">
        <f aca="false">Calc_Base!G71+$A$8</f>
        <v>0.103496717614723</v>
      </c>
      <c r="F66" s="48" t="n">
        <f aca="false">Calc_Base!H71+$A$8</f>
        <v>0.103496717614723</v>
      </c>
      <c r="G66" s="48" t="n">
        <f aca="false">Calc_Base!I71+$A$8</f>
        <v>0.0993123740917783</v>
      </c>
      <c r="H66" s="48" t="n">
        <f aca="false">Calc_Base!J71+$A$8</f>
        <v>0.0951280305688338</v>
      </c>
      <c r="I66" s="48" t="n">
        <f aca="false">Calc_Base!K71+$A$8</f>
        <v>0.0909436870458892</v>
      </c>
      <c r="J66" s="48" t="n">
        <f aca="false">Calc_Base!L71+$A$8</f>
        <v>0.0867593435229446</v>
      </c>
      <c r="K66" s="48" t="n">
        <f aca="false">Calc_Base!M71+$A$8</f>
        <v>0.082575</v>
      </c>
      <c r="L66" s="48" t="n">
        <f aca="false">Calc_Base!N71+$A$8</f>
        <v>0.082575</v>
      </c>
      <c r="M66" s="48" t="n">
        <f aca="false">Calc_Base!O71+$A$8</f>
        <v>0.082575</v>
      </c>
      <c r="N66" s="48" t="n">
        <f aca="false">Calc_Base!P71+$A$8</f>
        <v>0.082575</v>
      </c>
      <c r="O66" s="48" t="n">
        <f aca="false">Calc_Base!Q71+$A$8</f>
        <v>0.082575</v>
      </c>
      <c r="P66" s="48" t="n">
        <f aca="false">Calc_Base!R71+$A$8</f>
        <v>0.082575</v>
      </c>
    </row>
    <row r="67" customFormat="false" ht="15" hidden="false" customHeight="false" outlineLevel="0" collapsed="false">
      <c r="B67" s="45" t="n">
        <f aca="false">(1+B66)^(Calc_Base!D8+Calc_Base!D7-Inputs!$D$6)</f>
        <v>1.03100085196045</v>
      </c>
      <c r="C67" s="45" t="n">
        <f aca="false">B67*(1+C66)^Calc_Base!E7</f>
        <v>1.13770605599634</v>
      </c>
      <c r="D67" s="45" t="n">
        <f aca="false">C67*(1+D66)^Calc_Base!F7</f>
        <v>1.25545489840236</v>
      </c>
      <c r="E67" s="45" t="n">
        <f aca="false">D67*(1+E66)^Calc_Base!G7</f>
        <v>1.38539035950032</v>
      </c>
      <c r="F67" s="45" t="n">
        <f aca="false">E67*(1+F66)^Calc_Base!H7</f>
        <v>1.52877371432369</v>
      </c>
      <c r="G67" s="45" t="n">
        <f aca="false">F67*(1+G66)^Calc_Base!I7</f>
        <v>1.68059986134228</v>
      </c>
      <c r="H67" s="45" t="n">
        <f aca="false">G67*(1+H66)^Calc_Base!J7</f>
        <v>1.84047201632603</v>
      </c>
      <c r="I67" s="45" t="n">
        <f aca="false">H67*(1+I66)^Calc_Base!K7</f>
        <v>2.0078513273955</v>
      </c>
      <c r="J67" s="45" t="n">
        <f aca="false">I67*(1+J66)^Calc_Base!L7</f>
        <v>2.182051190452</v>
      </c>
      <c r="K67" s="45" t="n">
        <f aca="false">J67*(1+K66)^Calc_Base!M7</f>
        <v>2.36223406750358</v>
      </c>
      <c r="L67" s="45" t="n">
        <f aca="false">K67*(1+L66)^Calc_Base!N7</f>
        <v>2.55729554562769</v>
      </c>
      <c r="M67" s="45" t="n">
        <f aca="false">L67*(1+M66)^Calc_Base!O7</f>
        <v>2.76846422530789</v>
      </c>
      <c r="N67" s="45" t="n">
        <f aca="false">M67*(1+N66)^Calc_Base!P7</f>
        <v>2.99707015871269</v>
      </c>
      <c r="O67" s="45" t="n">
        <f aca="false">N67*(1+O66)^Calc_Base!Q7</f>
        <v>3.24455322706839</v>
      </c>
      <c r="P67" s="45" t="n">
        <f aca="false">O67*(1+P66)^Calc_Base!R7</f>
        <v>3.51247220979357</v>
      </c>
    </row>
    <row r="68" customFormat="false" ht="15" hidden="false" customHeight="false" outlineLevel="0" collapsed="false">
      <c r="B68" s="45" t="n">
        <f aca="false">1/(1+B66)^(Calc_Base!D9-Inputs!$D$6)</f>
        <v>0.994108385699078</v>
      </c>
      <c r="C68" s="45" t="n">
        <f aca="false">1/(B67*(1+C66)^(Calc_Base!E7/2))</f>
        <v>0.923326824776453</v>
      </c>
      <c r="D68" s="45" t="n">
        <f aca="false">1/(C67*(1+D66)^(Calc_Base!F7/2))</f>
        <v>0.836728202302478</v>
      </c>
      <c r="E68" s="45" t="n">
        <f aca="false">1/(D67*(1+E66)^(Calc_Base!G7/2))</f>
        <v>0.75825164583282</v>
      </c>
      <c r="F68" s="45" t="n">
        <f aca="false">1/(E67*(1+F66)^(Calc_Base!H7/2))</f>
        <v>0.687135388559948</v>
      </c>
      <c r="G68" s="45" t="n">
        <f aca="false">1/(F67*(1+G66)^(Calc_Base!I7/2))</f>
        <v>0.623873063572163</v>
      </c>
      <c r="H68" s="45" t="n">
        <f aca="false">1/(G67*(1+H66)^(Calc_Base!J7/2))</f>
        <v>0.568595252263519</v>
      </c>
      <c r="I68" s="45" t="n">
        <f aca="false">1/(H67*(1+I66)^(Calc_Base!K7/2))</f>
        <v>0.520199121813138</v>
      </c>
      <c r="J68" s="45" t="n">
        <f aca="false">1/(I67*(1+J66)^(Calc_Base!L7/2))</f>
        <v>0.477751166978813</v>
      </c>
      <c r="K68" s="45" t="n">
        <f aca="false">1/(J67*(1+K66)^(Calc_Base!M7/2))</f>
        <v>0.440459588117527</v>
      </c>
      <c r="L68" s="45" t="n">
        <f aca="false">1/(K67*(1+L66)^(Calc_Base!N7/2))</f>
        <v>0.406862885359007</v>
      </c>
      <c r="M68" s="45" t="n">
        <f aca="false">1/(L67*(1+M66)^(Calc_Base!O7/2))</f>
        <v>0.375828820505745</v>
      </c>
      <c r="N68" s="45" t="n">
        <f aca="false">1/(M67*(1+N66)^(Calc_Base!P7/2))</f>
        <v>0.34716192458328</v>
      </c>
      <c r="O68" s="45" t="n">
        <f aca="false">1/(N67*(1+O66)^(Calc_Base!Q7/2))</f>
        <v>0.320681638300608</v>
      </c>
      <c r="P68" s="45" t="n">
        <f aca="false">1/(O67*(1+P66)^(Calc_Base!R7/2))</f>
        <v>0.296221174792146</v>
      </c>
    </row>
    <row r="69" customFormat="false" ht="15" hidden="false" customHeight="false" outlineLevel="0" collapsed="false">
      <c r="A69" s="7" t="str">
        <f aca="false">"WACC+"&amp;TEXT(A9,"0.0%")</f>
        <v>WACC+1.0%</v>
      </c>
      <c r="B69" s="48" t="n">
        <f aca="false">Calc_Base!D71+$A$9</f>
        <v>0.113496717614723</v>
      </c>
      <c r="C69" s="48" t="n">
        <f aca="false">Calc_Base!E71+$A$9</f>
        <v>0.113496717614723</v>
      </c>
      <c r="D69" s="48" t="n">
        <f aca="false">Calc_Base!F71+$A$9</f>
        <v>0.113496717614723</v>
      </c>
      <c r="E69" s="48" t="n">
        <f aca="false">Calc_Base!G71+$A$9</f>
        <v>0.113496717614723</v>
      </c>
      <c r="F69" s="48" t="n">
        <f aca="false">Calc_Base!H71+$A$9</f>
        <v>0.113496717614723</v>
      </c>
      <c r="G69" s="48" t="n">
        <f aca="false">Calc_Base!I71+$A$9</f>
        <v>0.109312374091778</v>
      </c>
      <c r="H69" s="48" t="n">
        <f aca="false">Calc_Base!J71+$A$9</f>
        <v>0.105128030568834</v>
      </c>
      <c r="I69" s="48" t="n">
        <f aca="false">Calc_Base!K71+$A$9</f>
        <v>0.100943687045889</v>
      </c>
      <c r="J69" s="48" t="n">
        <f aca="false">Calc_Base!L71+$A$9</f>
        <v>0.0967593435229446</v>
      </c>
      <c r="K69" s="48" t="n">
        <f aca="false">Calc_Base!M71+$A$9</f>
        <v>0.092575</v>
      </c>
      <c r="L69" s="48" t="n">
        <f aca="false">Calc_Base!N71+$A$9</f>
        <v>0.092575</v>
      </c>
      <c r="M69" s="48" t="n">
        <f aca="false">Calc_Base!O71+$A$9</f>
        <v>0.092575</v>
      </c>
      <c r="N69" s="48" t="n">
        <f aca="false">Calc_Base!P71+$A$9</f>
        <v>0.092575</v>
      </c>
      <c r="O69" s="48" t="n">
        <f aca="false">Calc_Base!Q71+$A$9</f>
        <v>0.092575</v>
      </c>
      <c r="P69" s="48" t="n">
        <f aca="false">Calc_Base!R71+$A$9</f>
        <v>0.092575</v>
      </c>
    </row>
    <row r="70" customFormat="false" ht="15" hidden="false" customHeight="false" outlineLevel="0" collapsed="false">
      <c r="B70" s="45" t="n">
        <f aca="false">(1+B69)^(Calc_Base!D8+Calc_Base!D7-Inputs!$D$6)</f>
        <v>1.03388818358214</v>
      </c>
      <c r="C70" s="45" t="n">
        <f aca="false">B70*(1+C69)^Calc_Base!E7</f>
        <v>1.15123109879936</v>
      </c>
      <c r="D70" s="45" t="n">
        <f aca="false">C70*(1+D69)^Calc_Base!F7</f>
        <v>1.28189204972907</v>
      </c>
      <c r="E70" s="45" t="n">
        <f aca="false">D70*(1+E69)^Calc_Base!G7</f>
        <v>1.42738258970973</v>
      </c>
      <c r="F70" s="45" t="n">
        <f aca="false">E70*(1+F69)^Calc_Base!H7</f>
        <v>1.58938582842219</v>
      </c>
      <c r="G70" s="45" t="n">
        <f aca="false">F70*(1+G69)^Calc_Base!I7</f>
        <v>1.76312536667485</v>
      </c>
      <c r="H70" s="45" t="n">
        <f aca="false">G70*(1+H69)^Calc_Base!J7</f>
        <v>1.94847926411933</v>
      </c>
      <c r="I70" s="45" t="n">
        <f aca="false">H70*(1+I69)^Calc_Base!K7</f>
        <v>2.14516594517199</v>
      </c>
      <c r="J70" s="45" t="n">
        <f aca="false">I70*(1+J69)^Calc_Base!L7</f>
        <v>2.35273079377461</v>
      </c>
      <c r="K70" s="45" t="n">
        <f aca="false">J70*(1+K69)^Calc_Base!M7</f>
        <v>2.5705348470083</v>
      </c>
      <c r="L70" s="45" t="n">
        <f aca="false">K70*(1+L69)^Calc_Base!N7</f>
        <v>2.80850211047009</v>
      </c>
      <c r="M70" s="45" t="n">
        <f aca="false">L70*(1+M69)^Calc_Base!O7</f>
        <v>3.06849919334686</v>
      </c>
      <c r="N70" s="45" t="n">
        <f aca="false">M70*(1+N69)^Calc_Base!P7</f>
        <v>3.35256550617095</v>
      </c>
      <c r="O70" s="45" t="n">
        <f aca="false">N70*(1+O69)^Calc_Base!Q7</f>
        <v>3.66292925790472</v>
      </c>
      <c r="P70" s="45" t="n">
        <f aca="false">O70*(1+P69)^Calc_Base!R7</f>
        <v>4.00202493395525</v>
      </c>
    </row>
    <row r="71" customFormat="false" ht="15" hidden="false" customHeight="false" outlineLevel="0" collapsed="false">
      <c r="B71" s="45" t="n">
        <f aca="false">1/(1+B69)^(Calc_Base!D9-Inputs!$D$6)</f>
        <v>0.993570443034303</v>
      </c>
      <c r="C71" s="45" t="n">
        <f aca="false">1/(B70*(1+C69)^(Calc_Base!E7/2))</f>
        <v>0.916604442208644</v>
      </c>
      <c r="D71" s="45" t="n">
        <f aca="false">1/(C70*(1+D69)^(Calc_Base!F7/2))</f>
        <v>0.823176600082081</v>
      </c>
      <c r="E71" s="45" t="n">
        <f aca="false">1/(D70*(1+E69)^(Calc_Base!G7/2))</f>
        <v>0.739271689857738</v>
      </c>
      <c r="F71" s="45" t="n">
        <f aca="false">1/(E70*(1+F69)^(Calc_Base!H7/2))</f>
        <v>0.663919056215423</v>
      </c>
      <c r="G71" s="45" t="n">
        <f aca="false">1/(F70*(1+G69)^(Calc_Base!I7/2))</f>
        <v>0.597370448989757</v>
      </c>
      <c r="H71" s="45" t="n">
        <f aca="false">1/(G70*(1+H69)^(Calc_Base!J7/2))</f>
        <v>0.539523677571216</v>
      </c>
      <c r="I71" s="45" t="n">
        <f aca="false">1/(H70*(1+I69)^(Calc_Base!K7/2))</f>
        <v>0.489127024989054</v>
      </c>
      <c r="J71" s="45" t="n">
        <f aca="false">1/(I70*(1+J69)^(Calc_Base!L7/2))</f>
        <v>0.445126484104842</v>
      </c>
      <c r="K71" s="45" t="n">
        <f aca="false">1/(J70*(1+K69)^(Calc_Base!M7/2))</f>
        <v>0.40663254419003</v>
      </c>
      <c r="L71" s="45" t="n">
        <f aca="false">1/(K70*(1+L69)^(Calc_Base!N7/2))</f>
        <v>0.372178151788234</v>
      </c>
      <c r="M71" s="45" t="n">
        <f aca="false">1/(L70*(1+M69)^(Calc_Base!O7/2))</f>
        <v>0.340643115381767</v>
      </c>
      <c r="N71" s="45" t="n">
        <f aca="false">1/(M70*(1+N69)^(Calc_Base!P7/2))</f>
        <v>0.311780074943841</v>
      </c>
      <c r="O71" s="45" t="n">
        <f aca="false">1/(N70*(1+O69)^(Calc_Base!Q7/2))</f>
        <v>0.285362629516363</v>
      </c>
      <c r="P71" s="45" t="n">
        <f aca="false">1/(O70*(1+P69)^(Calc_Base!R7/2))</f>
        <v>0.261183561326557</v>
      </c>
    </row>
    <row r="72" customFormat="false" ht="15" hidden="false" customHeight="false" outlineLevel="0" collapsed="false">
      <c r="A72" s="7" t="str">
        <f aca="false">"WACC+"&amp;TEXT(A10,"0.0%")</f>
        <v>WACC+2.0%</v>
      </c>
      <c r="B72" s="48" t="n">
        <f aca="false">Calc_Base!D71+$A$10</f>
        <v>0.123496717614723</v>
      </c>
      <c r="C72" s="48" t="n">
        <f aca="false">Calc_Base!E71+$A$10</f>
        <v>0.123496717614723</v>
      </c>
      <c r="D72" s="48" t="n">
        <f aca="false">Calc_Base!F71+$A$10</f>
        <v>0.123496717614723</v>
      </c>
      <c r="E72" s="48" t="n">
        <f aca="false">Calc_Base!G71+$A$10</f>
        <v>0.123496717614723</v>
      </c>
      <c r="F72" s="48" t="n">
        <f aca="false">Calc_Base!H71+$A$10</f>
        <v>0.123496717614723</v>
      </c>
      <c r="G72" s="48" t="n">
        <f aca="false">Calc_Base!I71+$A$10</f>
        <v>0.119312374091778</v>
      </c>
      <c r="H72" s="48" t="n">
        <f aca="false">Calc_Base!J71+$A$10</f>
        <v>0.115128030568834</v>
      </c>
      <c r="I72" s="48" t="n">
        <f aca="false">Calc_Base!K71+$A$10</f>
        <v>0.110943687045889</v>
      </c>
      <c r="J72" s="48" t="n">
        <f aca="false">Calc_Base!L71+$A$10</f>
        <v>0.106759343522945</v>
      </c>
      <c r="K72" s="48" t="n">
        <f aca="false">Calc_Base!M71+$A$10</f>
        <v>0.102575</v>
      </c>
      <c r="L72" s="48" t="n">
        <f aca="false">Calc_Base!N71+$A$10</f>
        <v>0.102575</v>
      </c>
      <c r="M72" s="48" t="n">
        <f aca="false">Calc_Base!O71+$A$10</f>
        <v>0.102575</v>
      </c>
      <c r="N72" s="48" t="n">
        <f aca="false">Calc_Base!P71+$A$10</f>
        <v>0.102575</v>
      </c>
      <c r="O72" s="48" t="n">
        <f aca="false">Calc_Base!Q71+$A$10</f>
        <v>0.102575</v>
      </c>
      <c r="P72" s="48" t="n">
        <f aca="false">Calc_Base!R71+$A$10</f>
        <v>0.102575</v>
      </c>
    </row>
    <row r="73" customFormat="false" ht="15" hidden="false" customHeight="false" outlineLevel="0" collapsed="false">
      <c r="B73" s="45" t="n">
        <f aca="false">(1+B72)^(Calc_Base!D8+Calc_Base!D7-Inputs!$D$6)</f>
        <v>1.03675767828876</v>
      </c>
      <c r="C73" s="45" t="n">
        <f aca="false">B73*(1+C72)^Calc_Base!E7</f>
        <v>1.16479384851928</v>
      </c>
      <c r="D73" s="45" t="n">
        <f aca="false">C73*(1+D72)^Calc_Base!F7</f>
        <v>1.30864206550923</v>
      </c>
      <c r="E73" s="45" t="n">
        <f aca="false">D73*(1+E72)^Calc_Base!G7</f>
        <v>1.47025506513218</v>
      </c>
      <c r="F73" s="45" t="n">
        <f aca="false">E73*(1+F72)^Calc_Base!H7</f>
        <v>1.65182673973242</v>
      </c>
      <c r="G73" s="45" t="n">
        <f aca="false">F73*(1+G72)^Calc_Base!I7</f>
        <v>1.84891010963818</v>
      </c>
      <c r="H73" s="45" t="n">
        <f aca="false">G73*(1+H72)^Calc_Base!J7</f>
        <v>2.06177148925963</v>
      </c>
      <c r="I73" s="45" t="n">
        <f aca="false">H73*(1+I72)^Calc_Base!K7</f>
        <v>2.29051202012418</v>
      </c>
      <c r="J73" s="45" t="n">
        <f aca="false">I73*(1+J72)^Calc_Base!L7</f>
        <v>2.53504557972406</v>
      </c>
      <c r="K73" s="45" t="n">
        <f aca="false">J73*(1+K72)^Calc_Base!M7</f>
        <v>2.79507788006425</v>
      </c>
      <c r="L73" s="45" t="n">
        <f aca="false">K73*(1+L72)^Calc_Base!N7</f>
        <v>3.08178299361184</v>
      </c>
      <c r="M73" s="45" t="n">
        <f aca="false">L73*(1+M72)^Calc_Base!O7</f>
        <v>3.39789688418158</v>
      </c>
      <c r="N73" s="45" t="n">
        <f aca="false">M73*(1+N72)^Calc_Base!P7</f>
        <v>3.7464361570765</v>
      </c>
      <c r="O73" s="45" t="n">
        <f aca="false">N73*(1+O72)^Calc_Base!Q7</f>
        <v>4.13072684588863</v>
      </c>
      <c r="P73" s="45" t="n">
        <f aca="false">O73*(1+P72)^Calc_Base!R7</f>
        <v>4.55443615210565</v>
      </c>
    </row>
    <row r="74" customFormat="false" ht="15" hidden="false" customHeight="false" outlineLevel="0" collapsed="false">
      <c r="B74" s="45" t="n">
        <f aca="false">1/(1+B72)^(Calc_Base!D9-Inputs!$D$6)</f>
        <v>0.993037597154333</v>
      </c>
      <c r="C74" s="45" t="n">
        <f aca="false">1/(B73*(1+C72)^(Calc_Base!E7/2))</f>
        <v>0.909990452062888</v>
      </c>
      <c r="D74" s="45" t="n">
        <f aca="false">1/(C73*(1+D72)^(Calc_Base!F7/2))</f>
        <v>0.809962715329399</v>
      </c>
      <c r="E74" s="45" t="n">
        <f aca="false">1/(D73*(1+E72)^(Calc_Base!G7/2))</f>
        <v>0.720930201780221</v>
      </c>
      <c r="F74" s="45" t="n">
        <f aca="false">1/(E73*(1+F72)^(Calc_Base!H7/2))</f>
        <v>0.641684297316699</v>
      </c>
      <c r="G74" s="45" t="n">
        <f aca="false">1/(F73*(1+G72)^(Calc_Base!I7/2))</f>
        <v>0.572215813157347</v>
      </c>
      <c r="H74" s="45" t="n">
        <f aca="false">1/(G73*(1+H72)^(Calc_Base!J7/2))</f>
        <v>0.512179080993866</v>
      </c>
      <c r="I74" s="45" t="n">
        <f aca="false">1/(H73*(1+I72)^(Calc_Base!K7/2))</f>
        <v>0.460164856123856</v>
      </c>
      <c r="J74" s="45" t="n">
        <f aca="false">1/(I73*(1+J72)^(Calc_Base!L7/2))</f>
        <v>0.414993052606749</v>
      </c>
      <c r="K74" s="45" t="n">
        <f aca="false">1/(J73*(1+K72)^(Calc_Base!M7/2))</f>
        <v>0.375673150708134</v>
      </c>
      <c r="L74" s="45" t="n">
        <f aca="false">1/(K73*(1+L72)^(Calc_Base!N7/2))</f>
        <v>0.340723443491948</v>
      </c>
      <c r="M74" s="45" t="n">
        <f aca="false">1/(L73*(1+M72)^(Calc_Base!O7/2))</f>
        <v>0.309025185127495</v>
      </c>
      <c r="N74" s="45" t="n">
        <f aca="false">1/(M73*(1+N72)^(Calc_Base!P7/2))</f>
        <v>0.280275886109784</v>
      </c>
      <c r="O74" s="45" t="n">
        <f aca="false">1/(N73*(1+O72)^(Calc_Base!Q7/2))</f>
        <v>0.254201198204008</v>
      </c>
      <c r="P74" s="45" t="n">
        <f aca="false">1/(O73*(1+P72)^(Calc_Base!R7/2))</f>
        <v>0.230552296400705</v>
      </c>
    </row>
    <row r="79" customFormat="false" ht="15" hidden="false" customHeight="false" outlineLevel="0" collapsed="false">
      <c r="A79" s="3" t="s">
        <v>706</v>
      </c>
    </row>
    <row r="80" customFormat="false" ht="15" hidden="false" customHeight="false" outlineLevel="0" collapsed="false">
      <c r="A80" s="3" t="s">
        <v>707</v>
      </c>
      <c r="B80" s="3" t="s">
        <v>708</v>
      </c>
      <c r="C80" s="3" t="s">
        <v>107</v>
      </c>
      <c r="D80" s="3" t="s">
        <v>709</v>
      </c>
      <c r="E80" s="3" t="s">
        <v>710</v>
      </c>
      <c r="F80" s="3" t="s">
        <v>711</v>
      </c>
      <c r="G80" s="3" t="s">
        <v>712</v>
      </c>
      <c r="H80" s="3" t="s">
        <v>713</v>
      </c>
      <c r="I80" s="3" t="s">
        <v>714</v>
      </c>
      <c r="J80" s="3" t="s">
        <v>715</v>
      </c>
      <c r="K80" s="3" t="s">
        <v>716</v>
      </c>
      <c r="L80" s="3" t="s">
        <v>717</v>
      </c>
      <c r="M80" s="3" t="s">
        <v>718</v>
      </c>
      <c r="N80" s="3" t="s">
        <v>719</v>
      </c>
      <c r="O80" s="3" t="s">
        <v>720</v>
      </c>
      <c r="P80" s="3" t="s">
        <v>721</v>
      </c>
      <c r="Q80" s="3" t="s">
        <v>328</v>
      </c>
      <c r="R80" s="3" t="s">
        <v>722</v>
      </c>
    </row>
    <row r="81" customFormat="false" ht="15" hidden="false" customHeight="false" outlineLevel="0" collapsed="false">
      <c r="A81" s="7" t="s">
        <v>723</v>
      </c>
      <c r="B81" s="48" t="n">
        <f aca="false">$A$6</f>
        <v>-0.02</v>
      </c>
      <c r="C81" s="48" t="n">
        <f aca="false">B$5</f>
        <v>0.015</v>
      </c>
      <c r="D81" s="42" t="n">
        <f aca="false">SUMPRODUCT(Calc_Base!$D$68:$R$68,$B$62:$P$62)+(Calc_Base!R49*(1+C81)-Inputs!$D$22*MAX(0,Calc_Base!R49*(1+C81)-(Calc_Base!$C$79/(1+Calc_Base!$C$77)*(1+C81))-Calc_Base!R52*(1+C81))-(Calc_Base!$C$79/(1+Calc_Base!$C$77)*(1+C81))-Calc_Base!R52*(1+C81)-Inputs!$D$42*Calc_Base!R37*C81)*(1+(WACC!$C$16+B81))^0.5/((WACC!$C$16+B81)-C81)/$P$61</f>
        <v>33705.5406113179</v>
      </c>
      <c r="E81" s="42" t="n">
        <f aca="false">D81+Capital_Structure!$D$20-Capital_Structure!$B$26-Capital_Structure!$B$35</f>
        <v>33288.5916113179</v>
      </c>
      <c r="F81" s="7" t="n">
        <f aca="false">IF((E81+SUMIF(Capital_Structure!$B$48:$B$57,"&lt;="&amp;Capital_Structure!$B$48,Capital_Structure!$D$48:$D$57))/(Capital_Structure!$B$9+SUMIF(Capital_Structure!$B$48:$B$57,"&lt;="&amp;Capital_Structure!$B$48,Capital_Structure!$C$48:$C$57))&gt;Capital_Structure!$B$48,1,0)</f>
        <v>1</v>
      </c>
      <c r="G81" s="7" t="n">
        <f aca="false">IF((E81+SUMIF(Capital_Structure!$B$48:$B$57,"&lt;="&amp;Capital_Structure!$B$49,Capital_Structure!$D$48:$D$57))/(Capital_Structure!$B$9+SUMIF(Capital_Structure!$B$48:$B$57,"&lt;="&amp;Capital_Structure!$B$49,Capital_Structure!$C$48:$C$57))&gt;Capital_Structure!$B$49,1,0)</f>
        <v>1</v>
      </c>
      <c r="H81" s="7" t="n">
        <f aca="false">IF((E81+SUMIF(Capital_Structure!$B$48:$B$57,"&lt;="&amp;Capital_Structure!$B$50,Capital_Structure!$D$48:$D$57))/(Capital_Structure!$B$9+SUMIF(Capital_Structure!$B$48:$B$57,"&lt;="&amp;Capital_Structure!$B$50,Capital_Structure!$C$48:$C$57))&gt;Capital_Structure!$B$50,1,0)</f>
        <v>0</v>
      </c>
      <c r="I81" s="7" t="n">
        <f aca="false">IF((E81+SUMIF(Capital_Structure!$B$48:$B$57,"&lt;="&amp;Capital_Structure!$B$51,Capital_Structure!$D$48:$D$57))/(Capital_Structure!$B$9+SUMIF(Capital_Structure!$B$48:$B$57,"&lt;="&amp;Capital_Structure!$B$51,Capital_Structure!$C$48:$C$57))&gt;Capital_Structure!$B$51,1,0)</f>
        <v>0</v>
      </c>
      <c r="J81" s="7" t="n">
        <f aca="false">IF((E81+SUMIF(Capital_Structure!$B$48:$B$57,"&lt;="&amp;Capital_Structure!$B$52,Capital_Structure!$D$48:$D$57))/(Capital_Structure!$B$9+SUMIF(Capital_Structure!$B$48:$B$57,"&lt;="&amp;Capital_Structure!$B$52,Capital_Structure!$C$48:$C$57))&gt;Capital_Structure!$B$52,1,0)</f>
        <v>0</v>
      </c>
      <c r="K81" s="7" t="n">
        <f aca="false">IF((E81+SUMIF(Capital_Structure!$B$48:$B$57,"&lt;="&amp;Capital_Structure!$B$53,Capital_Structure!$D$48:$D$57))/(Capital_Structure!$B$9+SUMIF(Capital_Structure!$B$48:$B$57,"&lt;="&amp;Capital_Structure!$B$53,Capital_Structure!$C$48:$C$57))&gt;Capital_Structure!$B$53,1,0)</f>
        <v>1</v>
      </c>
      <c r="L81" s="7" t="n">
        <f aca="false">IF((E81+SUMIF(Capital_Structure!$B$48:$B$57,"&lt;="&amp;Capital_Structure!$B$54,Capital_Structure!$D$48:$D$57))/(Capital_Structure!$B$9+SUMIF(Capital_Structure!$B$48:$B$57,"&lt;="&amp;Capital_Structure!$B$54,Capital_Structure!$C$48:$C$57))&gt;Capital_Structure!$B$54,1,0)</f>
        <v>1</v>
      </c>
      <c r="M81" s="7" t="n">
        <f aca="false">IF((E81+SUMIF(Capital_Structure!$B$48:$B$57,"&lt;="&amp;Capital_Structure!$B$55,Capital_Structure!$D$48:$D$57))/(Capital_Structure!$B$9+SUMIF(Capital_Structure!$B$48:$B$57,"&lt;="&amp;Capital_Structure!$B$55,Capital_Structure!$C$48:$C$57))&gt;Capital_Structure!$B$55,1,0)</f>
        <v>1</v>
      </c>
      <c r="N81" s="7" t="n">
        <f aca="false">IF((E81+SUMIF(Capital_Structure!$B$48:$B$57,"&lt;="&amp;Capital_Structure!$B$56,Capital_Structure!$D$48:$D$57))/(Capital_Structure!$B$9+SUMIF(Capital_Structure!$B$48:$B$57,"&lt;="&amp;Capital_Structure!$B$56,Capital_Structure!$C$48:$C$57))&gt;Capital_Structure!$B$56,1,0)</f>
        <v>1</v>
      </c>
      <c r="O81" s="7" t="n">
        <f aca="false">IF((E81+SUMIF(Capital_Structure!$B$48:$B$57,"&lt;="&amp;Capital_Structure!$B$57,Capital_Structure!$D$48:$D$57))/(Capital_Structure!$B$9+SUMIF(Capital_Structure!$B$48:$B$57,"&lt;="&amp;Capital_Structure!$B$57,Capital_Structure!$C$48:$C$57))&gt;Capital_Structure!$B$57,1,0)</f>
        <v>1</v>
      </c>
      <c r="P81" s="42" t="n">
        <f aca="false">E81+F81*Capital_Structure!$D$48+G81*Capital_Structure!$D$49+H81*Capital_Structure!$D$50+I81*Capital_Structure!$D$51+J81*Capital_Structure!$D$52+K81*Capital_Structure!$D$53+L81*Capital_Structure!$D$54+M81*Capital_Structure!$D$55+N81*Capital_Structure!$D$56+O81*Capital_Structure!$D$57</f>
        <v>33641.8631862879</v>
      </c>
      <c r="Q81" s="42" t="n">
        <f aca="false">Capital_Structure!$B$9+F81*Capital_Structure!$C$48+G81*Capital_Structure!$C$49+H81*Capital_Structure!$C$50+I81*Capital_Structure!$C$51+J81*Capital_Structure!$C$52+K81*Capital_Structure!$C$53+L81*Capital_Structure!$C$54+M81*Capital_Structure!$C$55+N81*Capital_Structure!$C$56+O81*Capital_Structure!$C$57</f>
        <v>408.847777017284</v>
      </c>
      <c r="R81" s="46" t="n">
        <f aca="false">MAX(0,P81/Q81)</f>
        <v>82.2845691658627</v>
      </c>
    </row>
    <row r="82" customFormat="false" ht="15" hidden="false" customHeight="false" outlineLevel="0" collapsed="false">
      <c r="A82" s="7" t="s">
        <v>724</v>
      </c>
      <c r="B82" s="48" t="n">
        <f aca="false">$A$6</f>
        <v>-0.02</v>
      </c>
      <c r="C82" s="48" t="n">
        <f aca="false">C$5</f>
        <v>0.02</v>
      </c>
      <c r="D82" s="42" t="n">
        <f aca="false">SUMPRODUCT(Calc_Base!$D$68:$R$68,$B$62:$P$62)+(Calc_Base!R49*(1+C82)-Inputs!$D$22*MAX(0,Calc_Base!R49*(1+C82)-(Calc_Base!$C$79/(1+Calc_Base!$C$77)*(1+C82))-Calc_Base!R52*(1+C82))-(Calc_Base!$C$79/(1+Calc_Base!$C$77)*(1+C82))-Calc_Base!R52*(1+C82)-Inputs!$D$42*Calc_Base!R37*C82)*(1+(WACC!$C$16+B82))^0.5/((WACC!$C$16+B82)-C82)/$P$61</f>
        <v>36526.7034692832</v>
      </c>
      <c r="E82" s="42" t="n">
        <f aca="false">D82+Capital_Structure!$D$20-Capital_Structure!$B$26-Capital_Structure!$B$35</f>
        <v>36109.7544692832</v>
      </c>
      <c r="F82" s="7" t="n">
        <f aca="false">IF((E82+SUMIF(Capital_Structure!$B$48:$B$57,"&lt;="&amp;Capital_Structure!$B$48,Capital_Structure!$D$48:$D$57))/(Capital_Structure!$B$9+SUMIF(Capital_Structure!$B$48:$B$57,"&lt;="&amp;Capital_Structure!$B$48,Capital_Structure!$C$48:$C$57))&gt;Capital_Structure!$B$48,1,0)</f>
        <v>1</v>
      </c>
      <c r="G82" s="7" t="n">
        <f aca="false">IF((E82+SUMIF(Capital_Structure!$B$48:$B$57,"&lt;="&amp;Capital_Structure!$B$49,Capital_Structure!$D$48:$D$57))/(Capital_Structure!$B$9+SUMIF(Capital_Structure!$B$48:$B$57,"&lt;="&amp;Capital_Structure!$B$49,Capital_Structure!$C$48:$C$57))&gt;Capital_Structure!$B$49,1,0)</f>
        <v>1</v>
      </c>
      <c r="H82" s="7" t="n">
        <f aca="false">IF((E82+SUMIF(Capital_Structure!$B$48:$B$57,"&lt;="&amp;Capital_Structure!$B$50,Capital_Structure!$D$48:$D$57))/(Capital_Structure!$B$9+SUMIF(Capital_Structure!$B$48:$B$57,"&lt;="&amp;Capital_Structure!$B$50,Capital_Structure!$C$48:$C$57))&gt;Capital_Structure!$B$50,1,0)</f>
        <v>0</v>
      </c>
      <c r="I82" s="7" t="n">
        <f aca="false">IF((E82+SUMIF(Capital_Structure!$B$48:$B$57,"&lt;="&amp;Capital_Structure!$B$51,Capital_Structure!$D$48:$D$57))/(Capital_Structure!$B$9+SUMIF(Capital_Structure!$B$48:$B$57,"&lt;="&amp;Capital_Structure!$B$51,Capital_Structure!$C$48:$C$57))&gt;Capital_Structure!$B$51,1,0)</f>
        <v>0</v>
      </c>
      <c r="J82" s="7" t="n">
        <f aca="false">IF((E82+SUMIF(Capital_Structure!$B$48:$B$57,"&lt;="&amp;Capital_Structure!$B$52,Capital_Structure!$D$48:$D$57))/(Capital_Structure!$B$9+SUMIF(Capital_Structure!$B$48:$B$57,"&lt;="&amp;Capital_Structure!$B$52,Capital_Structure!$C$48:$C$57))&gt;Capital_Structure!$B$52,1,0)</f>
        <v>0</v>
      </c>
      <c r="K82" s="7" t="n">
        <f aca="false">IF((E82+SUMIF(Capital_Structure!$B$48:$B$57,"&lt;="&amp;Capital_Structure!$B$53,Capital_Structure!$D$48:$D$57))/(Capital_Structure!$B$9+SUMIF(Capital_Structure!$B$48:$B$57,"&lt;="&amp;Capital_Structure!$B$53,Capital_Structure!$C$48:$C$57))&gt;Capital_Structure!$B$53,1,0)</f>
        <v>1</v>
      </c>
      <c r="L82" s="7" t="n">
        <f aca="false">IF((E82+SUMIF(Capital_Structure!$B$48:$B$57,"&lt;="&amp;Capital_Structure!$B$54,Capital_Structure!$D$48:$D$57))/(Capital_Structure!$B$9+SUMIF(Capital_Structure!$B$48:$B$57,"&lt;="&amp;Capital_Structure!$B$54,Capital_Structure!$C$48:$C$57))&gt;Capital_Structure!$B$54,1,0)</f>
        <v>1</v>
      </c>
      <c r="M82" s="7" t="n">
        <f aca="false">IF((E82+SUMIF(Capital_Structure!$B$48:$B$57,"&lt;="&amp;Capital_Structure!$B$55,Capital_Structure!$D$48:$D$57))/(Capital_Structure!$B$9+SUMIF(Capital_Structure!$B$48:$B$57,"&lt;="&amp;Capital_Structure!$B$55,Capital_Structure!$C$48:$C$57))&gt;Capital_Structure!$B$55,1,0)</f>
        <v>1</v>
      </c>
      <c r="N82" s="7" t="n">
        <f aca="false">IF((E82+SUMIF(Capital_Structure!$B$48:$B$57,"&lt;="&amp;Capital_Structure!$B$56,Capital_Structure!$D$48:$D$57))/(Capital_Structure!$B$9+SUMIF(Capital_Structure!$B$48:$B$57,"&lt;="&amp;Capital_Structure!$B$56,Capital_Structure!$C$48:$C$57))&gt;Capital_Structure!$B$56,1,0)</f>
        <v>1</v>
      </c>
      <c r="O82" s="7" t="n">
        <f aca="false">IF((E82+SUMIF(Capital_Structure!$B$48:$B$57,"&lt;="&amp;Capital_Structure!$B$57,Capital_Structure!$D$48:$D$57))/(Capital_Structure!$B$9+SUMIF(Capital_Structure!$B$48:$B$57,"&lt;="&amp;Capital_Structure!$B$57,Capital_Structure!$C$48:$C$57))&gt;Capital_Structure!$B$57,1,0)</f>
        <v>1</v>
      </c>
      <c r="P82" s="42" t="n">
        <f aca="false">E82+F82*Capital_Structure!$D$48+G82*Capital_Structure!$D$49+H82*Capital_Structure!$D$50+I82*Capital_Structure!$D$51+J82*Capital_Structure!$D$52+K82*Capital_Structure!$D$53+L82*Capital_Structure!$D$54+M82*Capital_Structure!$D$55+N82*Capital_Structure!$D$56+O82*Capital_Structure!$D$57</f>
        <v>36463.0260442532</v>
      </c>
      <c r="Q82" s="42" t="n">
        <f aca="false">Capital_Structure!$B$9+F82*Capital_Structure!$C$48+G82*Capital_Structure!$C$49+H82*Capital_Structure!$C$50+I82*Capital_Structure!$C$51+J82*Capital_Structure!$C$52+K82*Capital_Structure!$C$53+L82*Capital_Structure!$C$54+M82*Capital_Structure!$C$55+N82*Capital_Structure!$C$56+O82*Capital_Structure!$C$57</f>
        <v>408.847777017284</v>
      </c>
      <c r="R82" s="46" t="n">
        <f aca="false">MAX(0,P82/Q82)</f>
        <v>89.1848460330791</v>
      </c>
    </row>
    <row r="83" customFormat="false" ht="15" hidden="false" customHeight="false" outlineLevel="0" collapsed="false">
      <c r="A83" s="7" t="s">
        <v>725</v>
      </c>
      <c r="B83" s="48" t="n">
        <f aca="false">$A$6</f>
        <v>-0.02</v>
      </c>
      <c r="C83" s="48" t="n">
        <f aca="false">D$5</f>
        <v>0.025</v>
      </c>
      <c r="D83" s="42" t="n">
        <f aca="false">SUMPRODUCT(Calc_Base!$D$68:$R$68,$B$62:$P$62)+(Calc_Base!R49*(1+C83)-Inputs!$D$22*MAX(0,Calc_Base!R49*(1+C83)-(Calc_Base!$C$79/(1+Calc_Base!$C$77)*(1+C83))-Calc_Base!R52*(1+C83))-(Calc_Base!$C$79/(1+Calc_Base!$C$77)*(1+C83))-Calc_Base!R52*(1+C83)-Inputs!$D$42*Calc_Base!R37*C83)*(1+(WACC!$C$16+B83))^0.5/((WACC!$C$16+B83)-C83)/$P$61</f>
        <v>40098.6748057488</v>
      </c>
      <c r="E83" s="42" t="n">
        <f aca="false">D83+Capital_Structure!$D$20-Capital_Structure!$B$26-Capital_Structure!$B$35</f>
        <v>39681.7258057488</v>
      </c>
      <c r="F83" s="7" t="n">
        <f aca="false">IF((E83+SUMIF(Capital_Structure!$B$48:$B$57,"&lt;="&amp;Capital_Structure!$B$48,Capital_Structure!$D$48:$D$57))/(Capital_Structure!$B$9+SUMIF(Capital_Structure!$B$48:$B$57,"&lt;="&amp;Capital_Structure!$B$48,Capital_Structure!$C$48:$C$57))&gt;Capital_Structure!$B$48,1,0)</f>
        <v>1</v>
      </c>
      <c r="G83" s="7" t="n">
        <f aca="false">IF((E83+SUMIF(Capital_Structure!$B$48:$B$57,"&lt;="&amp;Capital_Structure!$B$49,Capital_Structure!$D$48:$D$57))/(Capital_Structure!$B$9+SUMIF(Capital_Structure!$B$48:$B$57,"&lt;="&amp;Capital_Structure!$B$49,Capital_Structure!$C$48:$C$57))&gt;Capital_Structure!$B$49,1,0)</f>
        <v>1</v>
      </c>
      <c r="H83" s="7" t="n">
        <f aca="false">IF((E83+SUMIF(Capital_Structure!$B$48:$B$57,"&lt;="&amp;Capital_Structure!$B$50,Capital_Structure!$D$48:$D$57))/(Capital_Structure!$B$9+SUMIF(Capital_Structure!$B$48:$B$57,"&lt;="&amp;Capital_Structure!$B$50,Capital_Structure!$C$48:$C$57))&gt;Capital_Structure!$B$50,1,0)</f>
        <v>1</v>
      </c>
      <c r="I83" s="7" t="n">
        <f aca="false">IF((E83+SUMIF(Capital_Structure!$B$48:$B$57,"&lt;="&amp;Capital_Structure!$B$51,Capital_Structure!$D$48:$D$57))/(Capital_Structure!$B$9+SUMIF(Capital_Structure!$B$48:$B$57,"&lt;="&amp;Capital_Structure!$B$51,Capital_Structure!$C$48:$C$57))&gt;Capital_Structure!$B$51,1,0)</f>
        <v>0</v>
      </c>
      <c r="J83" s="7" t="n">
        <f aca="false">IF((E83+SUMIF(Capital_Structure!$B$48:$B$57,"&lt;="&amp;Capital_Structure!$B$52,Capital_Structure!$D$48:$D$57))/(Capital_Structure!$B$9+SUMIF(Capital_Structure!$B$48:$B$57,"&lt;="&amp;Capital_Structure!$B$52,Capital_Structure!$C$48:$C$57))&gt;Capital_Structure!$B$52,1,0)</f>
        <v>0</v>
      </c>
      <c r="K83" s="7" t="n">
        <f aca="false">IF((E83+SUMIF(Capital_Structure!$B$48:$B$57,"&lt;="&amp;Capital_Structure!$B$53,Capital_Structure!$D$48:$D$57))/(Capital_Structure!$B$9+SUMIF(Capital_Structure!$B$48:$B$57,"&lt;="&amp;Capital_Structure!$B$53,Capital_Structure!$C$48:$C$57))&gt;Capital_Structure!$B$53,1,0)</f>
        <v>1</v>
      </c>
      <c r="L83" s="7" t="n">
        <f aca="false">IF((E83+SUMIF(Capital_Structure!$B$48:$B$57,"&lt;="&amp;Capital_Structure!$B$54,Capital_Structure!$D$48:$D$57))/(Capital_Structure!$B$9+SUMIF(Capital_Structure!$B$48:$B$57,"&lt;="&amp;Capital_Structure!$B$54,Capital_Structure!$C$48:$C$57))&gt;Capital_Structure!$B$54,1,0)</f>
        <v>1</v>
      </c>
      <c r="M83" s="7" t="n">
        <f aca="false">IF((E83+SUMIF(Capital_Structure!$B$48:$B$57,"&lt;="&amp;Capital_Structure!$B$55,Capital_Structure!$D$48:$D$57))/(Capital_Structure!$B$9+SUMIF(Capital_Structure!$B$48:$B$57,"&lt;="&amp;Capital_Structure!$B$55,Capital_Structure!$C$48:$C$57))&gt;Capital_Structure!$B$55,1,0)</f>
        <v>1</v>
      </c>
      <c r="N83" s="7" t="n">
        <f aca="false">IF((E83+SUMIF(Capital_Structure!$B$48:$B$57,"&lt;="&amp;Capital_Structure!$B$56,Capital_Structure!$D$48:$D$57))/(Capital_Structure!$B$9+SUMIF(Capital_Structure!$B$48:$B$57,"&lt;="&amp;Capital_Structure!$B$56,Capital_Structure!$C$48:$C$57))&gt;Capital_Structure!$B$56,1,0)</f>
        <v>1</v>
      </c>
      <c r="O83" s="7" t="n">
        <f aca="false">IF((E83+SUMIF(Capital_Structure!$B$48:$B$57,"&lt;="&amp;Capital_Structure!$B$57,Capital_Structure!$D$48:$D$57))/(Capital_Structure!$B$9+SUMIF(Capital_Structure!$B$48:$B$57,"&lt;="&amp;Capital_Structure!$B$57,Capital_Structure!$C$48:$C$57))&gt;Capital_Structure!$B$57,1,0)</f>
        <v>1</v>
      </c>
      <c r="P83" s="42" t="n">
        <f aca="false">E83+F83*Capital_Structure!$D$48+G83*Capital_Structure!$D$49+H83*Capital_Structure!$D$50+I83*Capital_Structure!$D$51+J83*Capital_Structure!$D$52+K83*Capital_Structure!$D$53+L83*Capital_Structure!$D$54+M83*Capital_Structure!$D$55+N83*Capital_Structure!$D$56+O83*Capital_Structure!$D$57</f>
        <v>41184.9973807188</v>
      </c>
      <c r="Q83" s="42" t="n">
        <f aca="false">Capital_Structure!$B$9+F83*Capital_Structure!$C$48+G83*Capital_Structure!$C$49+H83*Capital_Structure!$C$50+I83*Capital_Structure!$C$51+J83*Capital_Structure!$C$52+K83*Capital_Structure!$C$53+L83*Capital_Structure!$C$54+M83*Capital_Structure!$C$55+N83*Capital_Structure!$C$56+O83*Capital_Structure!$C$57</f>
        <v>420.789625407731</v>
      </c>
      <c r="R83" s="46" t="n">
        <f aca="false">MAX(0,P83/Q83)</f>
        <v>97.8755057014818</v>
      </c>
    </row>
    <row r="84" customFormat="false" ht="15" hidden="false" customHeight="false" outlineLevel="0" collapsed="false">
      <c r="A84" s="7" t="s">
        <v>726</v>
      </c>
      <c r="B84" s="48" t="n">
        <f aca="false">$A$6</f>
        <v>-0.02</v>
      </c>
      <c r="C84" s="48" t="n">
        <f aca="false">E$5</f>
        <v>0.03</v>
      </c>
      <c r="D84" s="42" t="n">
        <f aca="false">SUMPRODUCT(Calc_Base!$D$68:$R$68,$B$62:$P$62)+(Calc_Base!R49*(1+C84)-Inputs!$D$22*MAX(0,Calc_Base!R49*(1+C84)-(Calc_Base!$C$79/(1+Calc_Base!$C$77)*(1+C84))-Calc_Base!R52*(1+C84))-(Calc_Base!$C$79/(1+Calc_Base!$C$77)*(1+C84))-Calc_Base!R52*(1+C84)-Inputs!$D$42*Calc_Base!R37*C84)*(1+(WACC!$C$16+B84))^0.5/((WACC!$C$16+B84)-C84)/$P$61</f>
        <v>44767.1837742836</v>
      </c>
      <c r="E84" s="42" t="n">
        <f aca="false">D84+Capital_Structure!$D$20-Capital_Structure!$B$26-Capital_Structure!$B$35</f>
        <v>44350.2347742836</v>
      </c>
      <c r="F84" s="7" t="n">
        <f aca="false">IF((E84+SUMIF(Capital_Structure!$B$48:$B$57,"&lt;="&amp;Capital_Structure!$B$48,Capital_Structure!$D$48:$D$57))/(Capital_Structure!$B$9+SUMIF(Capital_Structure!$B$48:$B$57,"&lt;="&amp;Capital_Structure!$B$48,Capital_Structure!$C$48:$C$57))&gt;Capital_Structure!$B$48,1,0)</f>
        <v>1</v>
      </c>
      <c r="G84" s="7" t="n">
        <f aca="false">IF((E84+SUMIF(Capital_Structure!$B$48:$B$57,"&lt;="&amp;Capital_Structure!$B$49,Capital_Structure!$D$48:$D$57))/(Capital_Structure!$B$9+SUMIF(Capital_Structure!$B$48:$B$57,"&lt;="&amp;Capital_Structure!$B$49,Capital_Structure!$C$48:$C$57))&gt;Capital_Structure!$B$49,1,0)</f>
        <v>1</v>
      </c>
      <c r="H84" s="7" t="n">
        <f aca="false">IF((E84+SUMIF(Capital_Structure!$B$48:$B$57,"&lt;="&amp;Capital_Structure!$B$50,Capital_Structure!$D$48:$D$57))/(Capital_Structure!$B$9+SUMIF(Capital_Structure!$B$48:$B$57,"&lt;="&amp;Capital_Structure!$B$50,Capital_Structure!$C$48:$C$57))&gt;Capital_Structure!$B$50,1,0)</f>
        <v>1</v>
      </c>
      <c r="I84" s="7" t="n">
        <f aca="false">IF((E84+SUMIF(Capital_Structure!$B$48:$B$57,"&lt;="&amp;Capital_Structure!$B$51,Capital_Structure!$D$48:$D$57))/(Capital_Structure!$B$9+SUMIF(Capital_Structure!$B$48:$B$57,"&lt;="&amp;Capital_Structure!$B$51,Capital_Structure!$C$48:$C$57))&gt;Capital_Structure!$B$51,1,0)</f>
        <v>0</v>
      </c>
      <c r="J84" s="7" t="n">
        <f aca="false">IF((E84+SUMIF(Capital_Structure!$B$48:$B$57,"&lt;="&amp;Capital_Structure!$B$52,Capital_Structure!$D$48:$D$57))/(Capital_Structure!$B$9+SUMIF(Capital_Structure!$B$48:$B$57,"&lt;="&amp;Capital_Structure!$B$52,Capital_Structure!$C$48:$C$57))&gt;Capital_Structure!$B$52,1,0)</f>
        <v>0</v>
      </c>
      <c r="K84" s="7" t="n">
        <f aca="false">IF((E84+SUMIF(Capital_Structure!$B$48:$B$57,"&lt;="&amp;Capital_Structure!$B$53,Capital_Structure!$D$48:$D$57))/(Capital_Structure!$B$9+SUMIF(Capital_Structure!$B$48:$B$57,"&lt;="&amp;Capital_Structure!$B$53,Capital_Structure!$C$48:$C$57))&gt;Capital_Structure!$B$53,1,0)</f>
        <v>1</v>
      </c>
      <c r="L84" s="7" t="n">
        <f aca="false">IF((E84+SUMIF(Capital_Structure!$B$48:$B$57,"&lt;="&amp;Capital_Structure!$B$54,Capital_Structure!$D$48:$D$57))/(Capital_Structure!$B$9+SUMIF(Capital_Structure!$B$48:$B$57,"&lt;="&amp;Capital_Structure!$B$54,Capital_Structure!$C$48:$C$57))&gt;Capital_Structure!$B$54,1,0)</f>
        <v>1</v>
      </c>
      <c r="M84" s="7" t="n">
        <f aca="false">IF((E84+SUMIF(Capital_Structure!$B$48:$B$57,"&lt;="&amp;Capital_Structure!$B$55,Capital_Structure!$D$48:$D$57))/(Capital_Structure!$B$9+SUMIF(Capital_Structure!$B$48:$B$57,"&lt;="&amp;Capital_Structure!$B$55,Capital_Structure!$C$48:$C$57))&gt;Capital_Structure!$B$55,1,0)</f>
        <v>1</v>
      </c>
      <c r="N84" s="7" t="n">
        <f aca="false">IF((E84+SUMIF(Capital_Structure!$B$48:$B$57,"&lt;="&amp;Capital_Structure!$B$56,Capital_Structure!$D$48:$D$57))/(Capital_Structure!$B$9+SUMIF(Capital_Structure!$B$48:$B$57,"&lt;="&amp;Capital_Structure!$B$56,Capital_Structure!$C$48:$C$57))&gt;Capital_Structure!$B$56,1,0)</f>
        <v>1</v>
      </c>
      <c r="O84" s="7" t="n">
        <f aca="false">IF((E84+SUMIF(Capital_Structure!$B$48:$B$57,"&lt;="&amp;Capital_Structure!$B$57,Capital_Structure!$D$48:$D$57))/(Capital_Structure!$B$9+SUMIF(Capital_Structure!$B$48:$B$57,"&lt;="&amp;Capital_Structure!$B$57,Capital_Structure!$C$48:$C$57))&gt;Capital_Structure!$B$57,1,0)</f>
        <v>1</v>
      </c>
      <c r="P84" s="42" t="n">
        <f aca="false">E84+F84*Capital_Structure!$D$48+G84*Capital_Structure!$D$49+H84*Capital_Structure!$D$50+I84*Capital_Structure!$D$51+J84*Capital_Structure!$D$52+K84*Capital_Structure!$D$53+L84*Capital_Structure!$D$54+M84*Capital_Structure!$D$55+N84*Capital_Structure!$D$56+O84*Capital_Structure!$D$57</f>
        <v>45853.5063492536</v>
      </c>
      <c r="Q84" s="42" t="n">
        <f aca="false">Capital_Structure!$B$9+F84*Capital_Structure!$C$48+G84*Capital_Structure!$C$49+H84*Capital_Structure!$C$50+I84*Capital_Structure!$C$51+J84*Capital_Structure!$C$52+K84*Capital_Structure!$C$53+L84*Capital_Structure!$C$54+M84*Capital_Structure!$C$55+N84*Capital_Structure!$C$56+O84*Capital_Structure!$C$57</f>
        <v>420.789625407731</v>
      </c>
      <c r="R84" s="46" t="n">
        <f aca="false">MAX(0,P84/Q84)</f>
        <v>108.970144653217</v>
      </c>
    </row>
    <row r="85" customFormat="false" ht="15" hidden="false" customHeight="false" outlineLevel="0" collapsed="false">
      <c r="A85" s="7" t="s">
        <v>727</v>
      </c>
      <c r="B85" s="48" t="n">
        <f aca="false">$A$6</f>
        <v>-0.02</v>
      </c>
      <c r="C85" s="48" t="n">
        <f aca="false">F$5</f>
        <v>0.035</v>
      </c>
      <c r="D85" s="42" t="n">
        <f aca="false">SUMPRODUCT(Calc_Base!$D$68:$R$68,$B$62:$P$62)+(Calc_Base!R49*(1+C85)-Inputs!$D$22*MAX(0,Calc_Base!R49*(1+C85)-(Calc_Base!$C$79/(1+Calc_Base!$C$77)*(1+C85))-Calc_Base!R52*(1+C85))-(Calc_Base!$C$79/(1+Calc_Base!$C$77)*(1+C85))-Calc_Base!R52*(1+C85)-Inputs!$D$42*Calc_Base!R37*C85)*(1+(WACC!$C$16+B85))^0.5/((WACC!$C$16+B85)-C85)/$P$61</f>
        <v>51128.7150342183</v>
      </c>
      <c r="E85" s="42" t="n">
        <f aca="false">D85+Capital_Structure!$D$20-Capital_Structure!$B$26-Capital_Structure!$B$35</f>
        <v>50711.7660342183</v>
      </c>
      <c r="F85" s="7" t="n">
        <f aca="false">IF((E85+SUMIF(Capital_Structure!$B$48:$B$57,"&lt;="&amp;Capital_Structure!$B$48,Capital_Structure!$D$48:$D$57))/(Capital_Structure!$B$9+SUMIF(Capital_Structure!$B$48:$B$57,"&lt;="&amp;Capital_Structure!$B$48,Capital_Structure!$C$48:$C$57))&gt;Capital_Structure!$B$48,1,0)</f>
        <v>1</v>
      </c>
      <c r="G85" s="7" t="n">
        <f aca="false">IF((E85+SUMIF(Capital_Structure!$B$48:$B$57,"&lt;="&amp;Capital_Structure!$B$49,Capital_Structure!$D$48:$D$57))/(Capital_Structure!$B$9+SUMIF(Capital_Structure!$B$48:$B$57,"&lt;="&amp;Capital_Structure!$B$49,Capital_Structure!$C$48:$C$57))&gt;Capital_Structure!$B$49,1,0)</f>
        <v>1</v>
      </c>
      <c r="H85" s="7" t="n">
        <f aca="false">IF((E85+SUMIF(Capital_Structure!$B$48:$B$57,"&lt;="&amp;Capital_Structure!$B$50,Capital_Structure!$D$48:$D$57))/(Capital_Structure!$B$9+SUMIF(Capital_Structure!$B$48:$B$57,"&lt;="&amp;Capital_Structure!$B$50,Capital_Structure!$C$48:$C$57))&gt;Capital_Structure!$B$50,1,0)</f>
        <v>1</v>
      </c>
      <c r="I85" s="7" t="n">
        <f aca="false">IF((E85+SUMIF(Capital_Structure!$B$48:$B$57,"&lt;="&amp;Capital_Structure!$B$51,Capital_Structure!$D$48:$D$57))/(Capital_Structure!$B$9+SUMIF(Capital_Structure!$B$48:$B$57,"&lt;="&amp;Capital_Structure!$B$51,Capital_Structure!$C$48:$C$57))&gt;Capital_Structure!$B$51,1,0)</f>
        <v>1</v>
      </c>
      <c r="J85" s="7" t="n">
        <f aca="false">IF((E85+SUMIF(Capital_Structure!$B$48:$B$57,"&lt;="&amp;Capital_Structure!$B$52,Capital_Structure!$D$48:$D$57))/(Capital_Structure!$B$9+SUMIF(Capital_Structure!$B$48:$B$57,"&lt;="&amp;Capital_Structure!$B$52,Capital_Structure!$C$48:$C$57))&gt;Capital_Structure!$B$52,1,0)</f>
        <v>0</v>
      </c>
      <c r="K85" s="7" t="n">
        <f aca="false">IF((E85+SUMIF(Capital_Structure!$B$48:$B$57,"&lt;="&amp;Capital_Structure!$B$53,Capital_Structure!$D$48:$D$57))/(Capital_Structure!$B$9+SUMIF(Capital_Structure!$B$48:$B$57,"&lt;="&amp;Capital_Structure!$B$53,Capital_Structure!$C$48:$C$57))&gt;Capital_Structure!$B$53,1,0)</f>
        <v>1</v>
      </c>
      <c r="L85" s="7" t="n">
        <f aca="false">IF((E85+SUMIF(Capital_Structure!$B$48:$B$57,"&lt;="&amp;Capital_Structure!$B$54,Capital_Structure!$D$48:$D$57))/(Capital_Structure!$B$9+SUMIF(Capital_Structure!$B$48:$B$57,"&lt;="&amp;Capital_Structure!$B$54,Capital_Structure!$C$48:$C$57))&gt;Capital_Structure!$B$54,1,0)</f>
        <v>1</v>
      </c>
      <c r="M85" s="7" t="n">
        <f aca="false">IF((E85+SUMIF(Capital_Structure!$B$48:$B$57,"&lt;="&amp;Capital_Structure!$B$55,Capital_Structure!$D$48:$D$57))/(Capital_Structure!$B$9+SUMIF(Capital_Structure!$B$48:$B$57,"&lt;="&amp;Capital_Structure!$B$55,Capital_Structure!$C$48:$C$57))&gt;Capital_Structure!$B$55,1,0)</f>
        <v>1</v>
      </c>
      <c r="N85" s="7" t="n">
        <f aca="false">IF((E85+SUMIF(Capital_Structure!$B$48:$B$57,"&lt;="&amp;Capital_Structure!$B$56,Capital_Structure!$D$48:$D$57))/(Capital_Structure!$B$9+SUMIF(Capital_Structure!$B$48:$B$57,"&lt;="&amp;Capital_Structure!$B$56,Capital_Structure!$C$48:$C$57))&gt;Capital_Structure!$B$56,1,0)</f>
        <v>1</v>
      </c>
      <c r="O85" s="7" t="n">
        <f aca="false">IF((E85+SUMIF(Capital_Structure!$B$48:$B$57,"&lt;="&amp;Capital_Structure!$B$57,Capital_Structure!$D$48:$D$57))/(Capital_Structure!$B$9+SUMIF(Capital_Structure!$B$48:$B$57,"&lt;="&amp;Capital_Structure!$B$57,Capital_Structure!$C$48:$C$57))&gt;Capital_Structure!$B$57,1,0)</f>
        <v>1</v>
      </c>
      <c r="P85" s="42" t="n">
        <f aca="false">E85+F85*Capital_Structure!$D$48+G85*Capital_Structure!$D$49+H85*Capital_Structure!$D$50+I85*Capital_Structure!$D$51+J85*Capital_Structure!$D$52+K85*Capital_Structure!$D$53+L85*Capital_Structure!$D$54+M85*Capital_Structure!$D$55+N85*Capital_Structure!$D$56+O85*Capital_Structure!$D$57</f>
        <v>53290.0376091883</v>
      </c>
      <c r="Q85" s="42" t="n">
        <f aca="false">Capital_Structure!$B$9+F85*Capital_Structure!$C$48+G85*Capital_Structure!$C$49+H85*Capital_Structure!$C$50+I85*Capital_Structure!$C$51+J85*Capital_Structure!$C$52+K85*Capital_Structure!$C$53+L85*Capital_Structure!$C$54+M85*Capital_Structure!$C$55+N85*Capital_Structure!$C$56+O85*Capital_Structure!$C$57</f>
        <v>430.032961607215</v>
      </c>
      <c r="R85" s="46" t="n">
        <f aca="false">MAX(0,P85/Q85)</f>
        <v>123.920820883173</v>
      </c>
    </row>
    <row r="86" customFormat="false" ht="15" hidden="false" customHeight="false" outlineLevel="0" collapsed="false">
      <c r="A86" s="7" t="s">
        <v>728</v>
      </c>
      <c r="B86" s="48" t="n">
        <f aca="false">$A$7</f>
        <v>-0.01</v>
      </c>
      <c r="C86" s="48" t="n">
        <f aca="false">B$5</f>
        <v>0.015</v>
      </c>
      <c r="D86" s="42" t="n">
        <f aca="false">SUMPRODUCT(Calc_Base!$D$68:$R$68,$B$65:$P$65)+(Calc_Base!R49*(1+C86)-Inputs!$D$22*MAX(0,Calc_Base!R49*(1+C86)-(Calc_Base!$C$79/(1+Calc_Base!$C$77)*(1+C86))-Calc_Base!R52*(1+C86))-(Calc_Base!$C$79/(1+Calc_Base!$C$77)*(1+C86))-Calc_Base!R52*(1+C86)-Inputs!$D$42*Calc_Base!R37*C86)*(1+(WACC!$C$16+B86))^0.5/((WACC!$C$16+B86)-C86)/$P$64</f>
        <v>26388.221578626</v>
      </c>
      <c r="E86" s="42" t="n">
        <f aca="false">D86+Capital_Structure!$D$20-Capital_Structure!$B$26-Capital_Structure!$B$35</f>
        <v>25971.272578626</v>
      </c>
      <c r="F86" s="7" t="n">
        <f aca="false">IF((E86+SUMIF(Capital_Structure!$B$48:$B$57,"&lt;="&amp;Capital_Structure!$B$48,Capital_Structure!$D$48:$D$57))/(Capital_Structure!$B$9+SUMIF(Capital_Structure!$B$48:$B$57,"&lt;="&amp;Capital_Structure!$B$48,Capital_Structure!$C$48:$C$57))&gt;Capital_Structure!$B$48,1,0)</f>
        <v>1</v>
      </c>
      <c r="G86" s="7" t="n">
        <f aca="false">IF((E86+SUMIF(Capital_Structure!$B$48:$B$57,"&lt;="&amp;Capital_Structure!$B$49,Capital_Structure!$D$48:$D$57))/(Capital_Structure!$B$9+SUMIF(Capital_Structure!$B$48:$B$57,"&lt;="&amp;Capital_Structure!$B$49,Capital_Structure!$C$48:$C$57))&gt;Capital_Structure!$B$49,1,0)</f>
        <v>0</v>
      </c>
      <c r="H86" s="7" t="n">
        <f aca="false">IF((E86+SUMIF(Capital_Structure!$B$48:$B$57,"&lt;="&amp;Capital_Structure!$B$50,Capital_Structure!$D$48:$D$57))/(Capital_Structure!$B$9+SUMIF(Capital_Structure!$B$48:$B$57,"&lt;="&amp;Capital_Structure!$B$50,Capital_Structure!$C$48:$C$57))&gt;Capital_Structure!$B$50,1,0)</f>
        <v>0</v>
      </c>
      <c r="I86" s="7" t="n">
        <f aca="false">IF((E86+SUMIF(Capital_Structure!$B$48:$B$57,"&lt;="&amp;Capital_Structure!$B$51,Capital_Structure!$D$48:$D$57))/(Capital_Structure!$B$9+SUMIF(Capital_Structure!$B$48:$B$57,"&lt;="&amp;Capital_Structure!$B$51,Capital_Structure!$C$48:$C$57))&gt;Capital_Structure!$B$51,1,0)</f>
        <v>0</v>
      </c>
      <c r="J86" s="7" t="n">
        <f aca="false">IF((E86+SUMIF(Capital_Structure!$B$48:$B$57,"&lt;="&amp;Capital_Structure!$B$52,Capital_Structure!$D$48:$D$57))/(Capital_Structure!$B$9+SUMIF(Capital_Structure!$B$48:$B$57,"&lt;="&amp;Capital_Structure!$B$52,Capital_Structure!$C$48:$C$57))&gt;Capital_Structure!$B$52,1,0)</f>
        <v>0</v>
      </c>
      <c r="K86" s="7" t="n">
        <f aca="false">IF((E86+SUMIF(Capital_Structure!$B$48:$B$57,"&lt;="&amp;Capital_Structure!$B$53,Capital_Structure!$D$48:$D$57))/(Capital_Structure!$B$9+SUMIF(Capital_Structure!$B$48:$B$57,"&lt;="&amp;Capital_Structure!$B$53,Capital_Structure!$C$48:$C$57))&gt;Capital_Structure!$B$53,1,0)</f>
        <v>1</v>
      </c>
      <c r="L86" s="7" t="n">
        <f aca="false">IF((E86+SUMIF(Capital_Structure!$B$48:$B$57,"&lt;="&amp;Capital_Structure!$B$54,Capital_Structure!$D$48:$D$57))/(Capital_Structure!$B$9+SUMIF(Capital_Structure!$B$48:$B$57,"&lt;="&amp;Capital_Structure!$B$54,Capital_Structure!$C$48:$C$57))&gt;Capital_Structure!$B$54,1,0)</f>
        <v>1</v>
      </c>
      <c r="M86" s="7" t="n">
        <f aca="false">IF((E86+SUMIF(Capital_Structure!$B$48:$B$57,"&lt;="&amp;Capital_Structure!$B$55,Capital_Structure!$D$48:$D$57))/(Capital_Structure!$B$9+SUMIF(Capital_Structure!$B$48:$B$57,"&lt;="&amp;Capital_Structure!$B$55,Capital_Structure!$C$48:$C$57))&gt;Capital_Structure!$B$55,1,0)</f>
        <v>1</v>
      </c>
      <c r="N86" s="7" t="n">
        <f aca="false">IF((E86+SUMIF(Capital_Structure!$B$48:$B$57,"&lt;="&amp;Capital_Structure!$B$56,Capital_Structure!$D$48:$D$57))/(Capital_Structure!$B$9+SUMIF(Capital_Structure!$B$48:$B$57,"&lt;="&amp;Capital_Structure!$B$56,Capital_Structure!$C$48:$C$57))&gt;Capital_Structure!$B$56,1,0)</f>
        <v>1</v>
      </c>
      <c r="O86" s="7" t="n">
        <f aca="false">IF((E86+SUMIF(Capital_Structure!$B$48:$B$57,"&lt;="&amp;Capital_Structure!$B$57,Capital_Structure!$D$48:$D$57))/(Capital_Structure!$B$9+SUMIF(Capital_Structure!$B$48:$B$57,"&lt;="&amp;Capital_Structure!$B$57,Capital_Structure!$C$48:$C$57))&gt;Capital_Structure!$B$57,1,0)</f>
        <v>1</v>
      </c>
      <c r="P86" s="42" t="n">
        <f aca="false">E86+F86*Capital_Structure!$D$48+G86*Capital_Structure!$D$49+H86*Capital_Structure!$D$50+I86*Capital_Structure!$D$51+J86*Capital_Structure!$D$52+K86*Capital_Structure!$D$53+L86*Capital_Structure!$D$54+M86*Capital_Structure!$D$55+N86*Capital_Structure!$D$56+O86*Capital_Structure!$D$57</f>
        <v>25999.544153596</v>
      </c>
      <c r="Q86" s="42" t="n">
        <f aca="false">Capital_Structure!$B$9+F86*Capital_Structure!$C$48+G86*Capital_Structure!$C$49+H86*Capital_Structure!$C$50+I86*Capital_Structure!$C$51+J86*Capital_Structure!$C$52+K86*Capital_Structure!$C$53+L86*Capital_Structure!$C$54+M86*Capital_Structure!$C$55+N86*Capital_Structure!$C$56+O86*Capital_Structure!$C$57</f>
        <v>404.338272369026</v>
      </c>
      <c r="R86" s="46" t="n">
        <f aca="false">MAX(0,P86/Q86)</f>
        <v>64.301467188016</v>
      </c>
    </row>
    <row r="87" customFormat="false" ht="15" hidden="false" customHeight="false" outlineLevel="0" collapsed="false">
      <c r="A87" s="7" t="s">
        <v>729</v>
      </c>
      <c r="B87" s="48" t="n">
        <f aca="false">$A$7</f>
        <v>-0.01</v>
      </c>
      <c r="C87" s="48" t="n">
        <f aca="false">C$5</f>
        <v>0.02</v>
      </c>
      <c r="D87" s="42" t="n">
        <f aca="false">SUMPRODUCT(Calc_Base!$D$68:$R$68,$B$65:$P$65)+(Calc_Base!R49*(1+C87)-Inputs!$D$22*MAX(0,Calc_Base!R49*(1+C87)-(Calc_Base!$C$79/(1+Calc_Base!$C$77)*(1+C87))-Calc_Base!R52*(1+C87))-(Calc_Base!$C$79/(1+Calc_Base!$C$77)*(1+C87))-Calc_Base!R52*(1+C87)-Inputs!$D$42*Calc_Base!R37*C87)*(1+(WACC!$C$16+B87))^0.5/((WACC!$C$16+B87)-C87)/$P$64</f>
        <v>28062.6555506602</v>
      </c>
      <c r="E87" s="42" t="n">
        <f aca="false">D87+Capital_Structure!$D$20-Capital_Structure!$B$26-Capital_Structure!$B$35</f>
        <v>27645.7065506602</v>
      </c>
      <c r="F87" s="7" t="n">
        <f aca="false">IF((E87+SUMIF(Capital_Structure!$B$48:$B$57,"&lt;="&amp;Capital_Structure!$B$48,Capital_Structure!$D$48:$D$57))/(Capital_Structure!$B$9+SUMIF(Capital_Structure!$B$48:$B$57,"&lt;="&amp;Capital_Structure!$B$48,Capital_Structure!$C$48:$C$57))&gt;Capital_Structure!$B$48,1,0)</f>
        <v>1</v>
      </c>
      <c r="G87" s="7" t="n">
        <f aca="false">IF((E87+SUMIF(Capital_Structure!$B$48:$B$57,"&lt;="&amp;Capital_Structure!$B$49,Capital_Structure!$D$48:$D$57))/(Capital_Structure!$B$9+SUMIF(Capital_Structure!$B$48:$B$57,"&lt;="&amp;Capital_Structure!$B$49,Capital_Structure!$C$48:$C$57))&gt;Capital_Structure!$B$49,1,0)</f>
        <v>0</v>
      </c>
      <c r="H87" s="7" t="n">
        <f aca="false">IF((E87+SUMIF(Capital_Structure!$B$48:$B$57,"&lt;="&amp;Capital_Structure!$B$50,Capital_Structure!$D$48:$D$57))/(Capital_Structure!$B$9+SUMIF(Capital_Structure!$B$48:$B$57,"&lt;="&amp;Capital_Structure!$B$50,Capital_Structure!$C$48:$C$57))&gt;Capital_Structure!$B$50,1,0)</f>
        <v>0</v>
      </c>
      <c r="I87" s="7" t="n">
        <f aca="false">IF((E87+SUMIF(Capital_Structure!$B$48:$B$57,"&lt;="&amp;Capital_Structure!$B$51,Capital_Structure!$D$48:$D$57))/(Capital_Structure!$B$9+SUMIF(Capital_Structure!$B$48:$B$57,"&lt;="&amp;Capital_Structure!$B$51,Capital_Structure!$C$48:$C$57))&gt;Capital_Structure!$B$51,1,0)</f>
        <v>0</v>
      </c>
      <c r="J87" s="7" t="n">
        <f aca="false">IF((E87+SUMIF(Capital_Structure!$B$48:$B$57,"&lt;="&amp;Capital_Structure!$B$52,Capital_Structure!$D$48:$D$57))/(Capital_Structure!$B$9+SUMIF(Capital_Structure!$B$48:$B$57,"&lt;="&amp;Capital_Structure!$B$52,Capital_Structure!$C$48:$C$57))&gt;Capital_Structure!$B$52,1,0)</f>
        <v>0</v>
      </c>
      <c r="K87" s="7" t="n">
        <f aca="false">IF((E87+SUMIF(Capital_Structure!$B$48:$B$57,"&lt;="&amp;Capital_Structure!$B$53,Capital_Structure!$D$48:$D$57))/(Capital_Structure!$B$9+SUMIF(Capital_Structure!$B$48:$B$57,"&lt;="&amp;Capital_Structure!$B$53,Capital_Structure!$C$48:$C$57))&gt;Capital_Structure!$B$53,1,0)</f>
        <v>1</v>
      </c>
      <c r="L87" s="7" t="n">
        <f aca="false">IF((E87+SUMIF(Capital_Structure!$B$48:$B$57,"&lt;="&amp;Capital_Structure!$B$54,Capital_Structure!$D$48:$D$57))/(Capital_Structure!$B$9+SUMIF(Capital_Structure!$B$48:$B$57,"&lt;="&amp;Capital_Structure!$B$54,Capital_Structure!$C$48:$C$57))&gt;Capital_Structure!$B$54,1,0)</f>
        <v>1</v>
      </c>
      <c r="M87" s="7" t="n">
        <f aca="false">IF((E87+SUMIF(Capital_Structure!$B$48:$B$57,"&lt;="&amp;Capital_Structure!$B$55,Capital_Structure!$D$48:$D$57))/(Capital_Structure!$B$9+SUMIF(Capital_Structure!$B$48:$B$57,"&lt;="&amp;Capital_Structure!$B$55,Capital_Structure!$C$48:$C$57))&gt;Capital_Structure!$B$55,1,0)</f>
        <v>1</v>
      </c>
      <c r="N87" s="7" t="n">
        <f aca="false">IF((E87+SUMIF(Capital_Structure!$B$48:$B$57,"&lt;="&amp;Capital_Structure!$B$56,Capital_Structure!$D$48:$D$57))/(Capital_Structure!$B$9+SUMIF(Capital_Structure!$B$48:$B$57,"&lt;="&amp;Capital_Structure!$B$56,Capital_Structure!$C$48:$C$57))&gt;Capital_Structure!$B$56,1,0)</f>
        <v>1</v>
      </c>
      <c r="O87" s="7" t="n">
        <f aca="false">IF((E87+SUMIF(Capital_Structure!$B$48:$B$57,"&lt;="&amp;Capital_Structure!$B$57,Capital_Structure!$D$48:$D$57))/(Capital_Structure!$B$9+SUMIF(Capital_Structure!$B$48:$B$57,"&lt;="&amp;Capital_Structure!$B$57,Capital_Structure!$C$48:$C$57))&gt;Capital_Structure!$B$57,1,0)</f>
        <v>1</v>
      </c>
      <c r="P87" s="42" t="n">
        <f aca="false">E87+F87*Capital_Structure!$D$48+G87*Capital_Structure!$D$49+H87*Capital_Structure!$D$50+I87*Capital_Structure!$D$51+J87*Capital_Structure!$D$52+K87*Capital_Structure!$D$53+L87*Capital_Structure!$D$54+M87*Capital_Structure!$D$55+N87*Capital_Structure!$D$56+O87*Capital_Structure!$D$57</f>
        <v>27673.9781256302</v>
      </c>
      <c r="Q87" s="42" t="n">
        <f aca="false">Capital_Structure!$B$9+F87*Capital_Structure!$C$48+G87*Capital_Structure!$C$49+H87*Capital_Structure!$C$50+I87*Capital_Structure!$C$51+J87*Capital_Structure!$C$52+K87*Capital_Structure!$C$53+L87*Capital_Structure!$C$54+M87*Capital_Structure!$C$55+N87*Capital_Structure!$C$56+O87*Capital_Structure!$C$57</f>
        <v>404.338272369026</v>
      </c>
      <c r="R87" s="46" t="n">
        <f aca="false">MAX(0,P87/Q87)</f>
        <v>68.4426382976012</v>
      </c>
    </row>
    <row r="88" customFormat="false" ht="15" hidden="false" customHeight="false" outlineLevel="0" collapsed="false">
      <c r="A88" s="7" t="s">
        <v>730</v>
      </c>
      <c r="B88" s="48" t="n">
        <f aca="false">$A$7</f>
        <v>-0.01</v>
      </c>
      <c r="C88" s="48" t="n">
        <f aca="false">D$5</f>
        <v>0.025</v>
      </c>
      <c r="D88" s="42" t="n">
        <f aca="false">SUMPRODUCT(Calc_Base!$D$68:$R$68,$B$65:$P$65)+(Calc_Base!R49*(1+C88)-Inputs!$D$22*MAX(0,Calc_Base!R49*(1+C88)-(Calc_Base!$C$79/(1+Calc_Base!$C$77)*(1+C88))-Calc_Base!R52*(1+C88))-(Calc_Base!$C$79/(1+Calc_Base!$C$77)*(1+C88))-Calc_Base!R52*(1+C88)-Inputs!$D$42*Calc_Base!R37*C88)*(1+(WACC!$C$16+B88))^0.5/((WACC!$C$16+B88)-C88)/$P$64</f>
        <v>30089.0462167636</v>
      </c>
      <c r="E88" s="42" t="n">
        <f aca="false">D88+Capital_Structure!$D$20-Capital_Structure!$B$26-Capital_Structure!$B$35</f>
        <v>29672.0972167636</v>
      </c>
      <c r="F88" s="7" t="n">
        <f aca="false">IF((E88+SUMIF(Capital_Structure!$B$48:$B$57,"&lt;="&amp;Capital_Structure!$B$48,Capital_Structure!$D$48:$D$57))/(Capital_Structure!$B$9+SUMIF(Capital_Structure!$B$48:$B$57,"&lt;="&amp;Capital_Structure!$B$48,Capital_Structure!$C$48:$C$57))&gt;Capital_Structure!$B$48,1,0)</f>
        <v>1</v>
      </c>
      <c r="G88" s="7" t="n">
        <f aca="false">IF((E88+SUMIF(Capital_Structure!$B$48:$B$57,"&lt;="&amp;Capital_Structure!$B$49,Capital_Structure!$D$48:$D$57))/(Capital_Structure!$B$9+SUMIF(Capital_Structure!$B$48:$B$57,"&lt;="&amp;Capital_Structure!$B$49,Capital_Structure!$C$48:$C$57))&gt;Capital_Structure!$B$49,1,0)</f>
        <v>1</v>
      </c>
      <c r="H88" s="7" t="n">
        <f aca="false">IF((E88+SUMIF(Capital_Structure!$B$48:$B$57,"&lt;="&amp;Capital_Structure!$B$50,Capital_Structure!$D$48:$D$57))/(Capital_Structure!$B$9+SUMIF(Capital_Structure!$B$48:$B$57,"&lt;="&amp;Capital_Structure!$B$50,Capital_Structure!$C$48:$C$57))&gt;Capital_Structure!$B$50,1,0)</f>
        <v>0</v>
      </c>
      <c r="I88" s="7" t="n">
        <f aca="false">IF((E88+SUMIF(Capital_Structure!$B$48:$B$57,"&lt;="&amp;Capital_Structure!$B$51,Capital_Structure!$D$48:$D$57))/(Capital_Structure!$B$9+SUMIF(Capital_Structure!$B$48:$B$57,"&lt;="&amp;Capital_Structure!$B$51,Capital_Structure!$C$48:$C$57))&gt;Capital_Structure!$B$51,1,0)</f>
        <v>0</v>
      </c>
      <c r="J88" s="7" t="n">
        <f aca="false">IF((E88+SUMIF(Capital_Structure!$B$48:$B$57,"&lt;="&amp;Capital_Structure!$B$52,Capital_Structure!$D$48:$D$57))/(Capital_Structure!$B$9+SUMIF(Capital_Structure!$B$48:$B$57,"&lt;="&amp;Capital_Structure!$B$52,Capital_Structure!$C$48:$C$57))&gt;Capital_Structure!$B$52,1,0)</f>
        <v>0</v>
      </c>
      <c r="K88" s="7" t="n">
        <f aca="false">IF((E88+SUMIF(Capital_Structure!$B$48:$B$57,"&lt;="&amp;Capital_Structure!$B$53,Capital_Structure!$D$48:$D$57))/(Capital_Structure!$B$9+SUMIF(Capital_Structure!$B$48:$B$57,"&lt;="&amp;Capital_Structure!$B$53,Capital_Structure!$C$48:$C$57))&gt;Capital_Structure!$B$53,1,0)</f>
        <v>1</v>
      </c>
      <c r="L88" s="7" t="n">
        <f aca="false">IF((E88+SUMIF(Capital_Structure!$B$48:$B$57,"&lt;="&amp;Capital_Structure!$B$54,Capital_Structure!$D$48:$D$57))/(Capital_Structure!$B$9+SUMIF(Capital_Structure!$B$48:$B$57,"&lt;="&amp;Capital_Structure!$B$54,Capital_Structure!$C$48:$C$57))&gt;Capital_Structure!$B$54,1,0)</f>
        <v>1</v>
      </c>
      <c r="M88" s="7" t="n">
        <f aca="false">IF((E88+SUMIF(Capital_Structure!$B$48:$B$57,"&lt;="&amp;Capital_Structure!$B$55,Capital_Structure!$D$48:$D$57))/(Capital_Structure!$B$9+SUMIF(Capital_Structure!$B$48:$B$57,"&lt;="&amp;Capital_Structure!$B$55,Capital_Structure!$C$48:$C$57))&gt;Capital_Structure!$B$55,1,0)</f>
        <v>1</v>
      </c>
      <c r="N88" s="7" t="n">
        <f aca="false">IF((E88+SUMIF(Capital_Structure!$B$48:$B$57,"&lt;="&amp;Capital_Structure!$B$56,Capital_Structure!$D$48:$D$57))/(Capital_Structure!$B$9+SUMIF(Capital_Structure!$B$48:$B$57,"&lt;="&amp;Capital_Structure!$B$56,Capital_Structure!$C$48:$C$57))&gt;Capital_Structure!$B$56,1,0)</f>
        <v>1</v>
      </c>
      <c r="O88" s="7" t="n">
        <f aca="false">IF((E88+SUMIF(Capital_Structure!$B$48:$B$57,"&lt;="&amp;Capital_Structure!$B$57,Capital_Structure!$D$48:$D$57))/(Capital_Structure!$B$9+SUMIF(Capital_Structure!$B$48:$B$57,"&lt;="&amp;Capital_Structure!$B$57,Capital_Structure!$C$48:$C$57))&gt;Capital_Structure!$B$57,1,0)</f>
        <v>1</v>
      </c>
      <c r="P88" s="42" t="n">
        <f aca="false">E88+F88*Capital_Structure!$D$48+G88*Capital_Structure!$D$49+H88*Capital_Structure!$D$50+I88*Capital_Structure!$D$51+J88*Capital_Structure!$D$52+K88*Capital_Structure!$D$53+L88*Capital_Structure!$D$54+M88*Capital_Structure!$D$55+N88*Capital_Structure!$D$56+O88*Capital_Structure!$D$57</f>
        <v>30025.3687917336</v>
      </c>
      <c r="Q88" s="42" t="n">
        <f aca="false">Capital_Structure!$B$9+F88*Capital_Structure!$C$48+G88*Capital_Structure!$C$49+H88*Capital_Structure!$C$50+I88*Capital_Structure!$C$51+J88*Capital_Structure!$C$52+K88*Capital_Structure!$C$53+L88*Capital_Structure!$C$54+M88*Capital_Structure!$C$55+N88*Capital_Structure!$C$56+O88*Capital_Structure!$C$57</f>
        <v>408.847777017284</v>
      </c>
      <c r="R88" s="46" t="n">
        <f aca="false">MAX(0,P88/Q88)</f>
        <v>73.4389924063701</v>
      </c>
    </row>
    <row r="89" customFormat="false" ht="15" hidden="false" customHeight="false" outlineLevel="0" collapsed="false">
      <c r="A89" s="7" t="s">
        <v>731</v>
      </c>
      <c r="B89" s="48" t="n">
        <f aca="false">$A$7</f>
        <v>-0.01</v>
      </c>
      <c r="C89" s="48" t="n">
        <f aca="false">E$5</f>
        <v>0.03</v>
      </c>
      <c r="D89" s="42" t="n">
        <f aca="false">SUMPRODUCT(Calc_Base!$D$68:$R$68,$B$65:$P$65)+(Calc_Base!R49*(1+C89)-Inputs!$D$22*MAX(0,Calc_Base!R49*(1+C89)-(Calc_Base!$C$79/(1+Calc_Base!$C$77)*(1+C89))-Calc_Base!R52*(1+C89))-(Calc_Base!$C$79/(1+Calc_Base!$C$77)*(1+C89))-Calc_Base!R52*(1+C89)-Inputs!$D$42*Calc_Base!R37*C89)*(1+(WACC!$C$16+B89))^0.5/((WACC!$C$16+B89)-C89)/$P$64</f>
        <v>32591.3947609888</v>
      </c>
      <c r="E89" s="42" t="n">
        <f aca="false">D89+Capital_Structure!$D$20-Capital_Structure!$B$26-Capital_Structure!$B$35</f>
        <v>32174.4457609888</v>
      </c>
      <c r="F89" s="7" t="n">
        <f aca="false">IF((E89+SUMIF(Capital_Structure!$B$48:$B$57,"&lt;="&amp;Capital_Structure!$B$48,Capital_Structure!$D$48:$D$57))/(Capital_Structure!$B$9+SUMIF(Capital_Structure!$B$48:$B$57,"&lt;="&amp;Capital_Structure!$B$48,Capital_Structure!$C$48:$C$57))&gt;Capital_Structure!$B$48,1,0)</f>
        <v>1</v>
      </c>
      <c r="G89" s="7" t="n">
        <f aca="false">IF((E89+SUMIF(Capital_Structure!$B$48:$B$57,"&lt;="&amp;Capital_Structure!$B$49,Capital_Structure!$D$48:$D$57))/(Capital_Structure!$B$9+SUMIF(Capital_Structure!$B$48:$B$57,"&lt;="&amp;Capital_Structure!$B$49,Capital_Structure!$C$48:$C$57))&gt;Capital_Structure!$B$49,1,0)</f>
        <v>1</v>
      </c>
      <c r="H89" s="7" t="n">
        <f aca="false">IF((E89+SUMIF(Capital_Structure!$B$48:$B$57,"&lt;="&amp;Capital_Structure!$B$50,Capital_Structure!$D$48:$D$57))/(Capital_Structure!$B$9+SUMIF(Capital_Structure!$B$48:$B$57,"&lt;="&amp;Capital_Structure!$B$50,Capital_Structure!$C$48:$C$57))&gt;Capital_Structure!$B$50,1,0)</f>
        <v>0</v>
      </c>
      <c r="I89" s="7" t="n">
        <f aca="false">IF((E89+SUMIF(Capital_Structure!$B$48:$B$57,"&lt;="&amp;Capital_Structure!$B$51,Capital_Structure!$D$48:$D$57))/(Capital_Structure!$B$9+SUMIF(Capital_Structure!$B$48:$B$57,"&lt;="&amp;Capital_Structure!$B$51,Capital_Structure!$C$48:$C$57))&gt;Capital_Structure!$B$51,1,0)</f>
        <v>0</v>
      </c>
      <c r="J89" s="7" t="n">
        <f aca="false">IF((E89+SUMIF(Capital_Structure!$B$48:$B$57,"&lt;="&amp;Capital_Structure!$B$52,Capital_Structure!$D$48:$D$57))/(Capital_Structure!$B$9+SUMIF(Capital_Structure!$B$48:$B$57,"&lt;="&amp;Capital_Structure!$B$52,Capital_Structure!$C$48:$C$57))&gt;Capital_Structure!$B$52,1,0)</f>
        <v>0</v>
      </c>
      <c r="K89" s="7" t="n">
        <f aca="false">IF((E89+SUMIF(Capital_Structure!$B$48:$B$57,"&lt;="&amp;Capital_Structure!$B$53,Capital_Structure!$D$48:$D$57))/(Capital_Structure!$B$9+SUMIF(Capital_Structure!$B$48:$B$57,"&lt;="&amp;Capital_Structure!$B$53,Capital_Structure!$C$48:$C$57))&gt;Capital_Structure!$B$53,1,0)</f>
        <v>1</v>
      </c>
      <c r="L89" s="7" t="n">
        <f aca="false">IF((E89+SUMIF(Capital_Structure!$B$48:$B$57,"&lt;="&amp;Capital_Structure!$B$54,Capital_Structure!$D$48:$D$57))/(Capital_Structure!$B$9+SUMIF(Capital_Structure!$B$48:$B$57,"&lt;="&amp;Capital_Structure!$B$54,Capital_Structure!$C$48:$C$57))&gt;Capital_Structure!$B$54,1,0)</f>
        <v>1</v>
      </c>
      <c r="M89" s="7" t="n">
        <f aca="false">IF((E89+SUMIF(Capital_Structure!$B$48:$B$57,"&lt;="&amp;Capital_Structure!$B$55,Capital_Structure!$D$48:$D$57))/(Capital_Structure!$B$9+SUMIF(Capital_Structure!$B$48:$B$57,"&lt;="&amp;Capital_Structure!$B$55,Capital_Structure!$C$48:$C$57))&gt;Capital_Structure!$B$55,1,0)</f>
        <v>1</v>
      </c>
      <c r="N89" s="7" t="n">
        <f aca="false">IF((E89+SUMIF(Capital_Structure!$B$48:$B$57,"&lt;="&amp;Capital_Structure!$B$56,Capital_Structure!$D$48:$D$57))/(Capital_Structure!$B$9+SUMIF(Capital_Structure!$B$48:$B$57,"&lt;="&amp;Capital_Structure!$B$56,Capital_Structure!$C$48:$C$57))&gt;Capital_Structure!$B$56,1,0)</f>
        <v>1</v>
      </c>
      <c r="O89" s="7" t="n">
        <f aca="false">IF((E89+SUMIF(Capital_Structure!$B$48:$B$57,"&lt;="&amp;Capital_Structure!$B$57,Capital_Structure!$D$48:$D$57))/(Capital_Structure!$B$9+SUMIF(Capital_Structure!$B$48:$B$57,"&lt;="&amp;Capital_Structure!$B$57,Capital_Structure!$C$48:$C$57))&gt;Capital_Structure!$B$57,1,0)</f>
        <v>1</v>
      </c>
      <c r="P89" s="42" t="n">
        <f aca="false">E89+F89*Capital_Structure!$D$48+G89*Capital_Structure!$D$49+H89*Capital_Structure!$D$50+I89*Capital_Structure!$D$51+J89*Capital_Structure!$D$52+K89*Capital_Structure!$D$53+L89*Capital_Structure!$D$54+M89*Capital_Structure!$D$55+N89*Capital_Structure!$D$56+O89*Capital_Structure!$D$57</f>
        <v>32527.7173359588</v>
      </c>
      <c r="Q89" s="42" t="n">
        <f aca="false">Capital_Structure!$B$9+F89*Capital_Structure!$C$48+G89*Capital_Structure!$C$49+H89*Capital_Structure!$C$50+I89*Capital_Structure!$C$51+J89*Capital_Structure!$C$52+K89*Capital_Structure!$C$53+L89*Capital_Structure!$C$54+M89*Capital_Structure!$C$55+N89*Capital_Structure!$C$56+O89*Capital_Structure!$C$57</f>
        <v>408.847777017284</v>
      </c>
      <c r="R89" s="46" t="n">
        <f aca="false">MAX(0,P89/Q89)</f>
        <v>79.5594819501335</v>
      </c>
    </row>
    <row r="90" customFormat="false" ht="15" hidden="false" customHeight="false" outlineLevel="0" collapsed="false">
      <c r="A90" s="7" t="s">
        <v>732</v>
      </c>
      <c r="B90" s="48" t="n">
        <f aca="false">$A$7</f>
        <v>-0.01</v>
      </c>
      <c r="C90" s="48" t="n">
        <f aca="false">F$5</f>
        <v>0.035</v>
      </c>
      <c r="D90" s="42" t="n">
        <f aca="false">SUMPRODUCT(Calc_Base!$D$68:$R$68,$B$65:$P$65)+(Calc_Base!R49*(1+C90)-Inputs!$D$22*MAX(0,Calc_Base!R49*(1+C90)-(Calc_Base!$C$79/(1+Calc_Base!$C$77)*(1+C90))-Calc_Base!R52*(1+C90))-(Calc_Base!$C$79/(1+Calc_Base!$C$77)*(1+C90))-Calc_Base!R52*(1+C90)-Inputs!$D$42*Calc_Base!R37*C90)*(1+(WACC!$C$16+B90))^0.5/((WACC!$C$16+B90)-C90)/$P$64</f>
        <v>35759.7043282946</v>
      </c>
      <c r="E90" s="42" t="n">
        <f aca="false">D90+Capital_Structure!$D$20-Capital_Structure!$B$26-Capital_Structure!$B$35</f>
        <v>35342.7553282946</v>
      </c>
      <c r="F90" s="7" t="n">
        <f aca="false">IF((E90+SUMIF(Capital_Structure!$B$48:$B$57,"&lt;="&amp;Capital_Structure!$B$48,Capital_Structure!$D$48:$D$57))/(Capital_Structure!$B$9+SUMIF(Capital_Structure!$B$48:$B$57,"&lt;="&amp;Capital_Structure!$B$48,Capital_Structure!$C$48:$C$57))&gt;Capital_Structure!$B$48,1,0)</f>
        <v>1</v>
      </c>
      <c r="G90" s="7" t="n">
        <f aca="false">IF((E90+SUMIF(Capital_Structure!$B$48:$B$57,"&lt;="&amp;Capital_Structure!$B$49,Capital_Structure!$D$48:$D$57))/(Capital_Structure!$B$9+SUMIF(Capital_Structure!$B$48:$B$57,"&lt;="&amp;Capital_Structure!$B$49,Capital_Structure!$C$48:$C$57))&gt;Capital_Structure!$B$49,1,0)</f>
        <v>1</v>
      </c>
      <c r="H90" s="7" t="n">
        <f aca="false">IF((E90+SUMIF(Capital_Structure!$B$48:$B$57,"&lt;="&amp;Capital_Structure!$B$50,Capital_Structure!$D$48:$D$57))/(Capital_Structure!$B$9+SUMIF(Capital_Structure!$B$48:$B$57,"&lt;="&amp;Capital_Structure!$B$50,Capital_Structure!$C$48:$C$57))&gt;Capital_Structure!$B$50,1,0)</f>
        <v>0</v>
      </c>
      <c r="I90" s="7" t="n">
        <f aca="false">IF((E90+SUMIF(Capital_Structure!$B$48:$B$57,"&lt;="&amp;Capital_Structure!$B$51,Capital_Structure!$D$48:$D$57))/(Capital_Structure!$B$9+SUMIF(Capital_Structure!$B$48:$B$57,"&lt;="&amp;Capital_Structure!$B$51,Capital_Structure!$C$48:$C$57))&gt;Capital_Structure!$B$51,1,0)</f>
        <v>0</v>
      </c>
      <c r="J90" s="7" t="n">
        <f aca="false">IF((E90+SUMIF(Capital_Structure!$B$48:$B$57,"&lt;="&amp;Capital_Structure!$B$52,Capital_Structure!$D$48:$D$57))/(Capital_Structure!$B$9+SUMIF(Capital_Structure!$B$48:$B$57,"&lt;="&amp;Capital_Structure!$B$52,Capital_Structure!$C$48:$C$57))&gt;Capital_Structure!$B$52,1,0)</f>
        <v>0</v>
      </c>
      <c r="K90" s="7" t="n">
        <f aca="false">IF((E90+SUMIF(Capital_Structure!$B$48:$B$57,"&lt;="&amp;Capital_Structure!$B$53,Capital_Structure!$D$48:$D$57))/(Capital_Structure!$B$9+SUMIF(Capital_Structure!$B$48:$B$57,"&lt;="&amp;Capital_Structure!$B$53,Capital_Structure!$C$48:$C$57))&gt;Capital_Structure!$B$53,1,0)</f>
        <v>1</v>
      </c>
      <c r="L90" s="7" t="n">
        <f aca="false">IF((E90+SUMIF(Capital_Structure!$B$48:$B$57,"&lt;="&amp;Capital_Structure!$B$54,Capital_Structure!$D$48:$D$57))/(Capital_Structure!$B$9+SUMIF(Capital_Structure!$B$48:$B$57,"&lt;="&amp;Capital_Structure!$B$54,Capital_Structure!$C$48:$C$57))&gt;Capital_Structure!$B$54,1,0)</f>
        <v>1</v>
      </c>
      <c r="M90" s="7" t="n">
        <f aca="false">IF((E90+SUMIF(Capital_Structure!$B$48:$B$57,"&lt;="&amp;Capital_Structure!$B$55,Capital_Structure!$D$48:$D$57))/(Capital_Structure!$B$9+SUMIF(Capital_Structure!$B$48:$B$57,"&lt;="&amp;Capital_Structure!$B$55,Capital_Structure!$C$48:$C$57))&gt;Capital_Structure!$B$55,1,0)</f>
        <v>1</v>
      </c>
      <c r="N90" s="7" t="n">
        <f aca="false">IF((E90+SUMIF(Capital_Structure!$B$48:$B$57,"&lt;="&amp;Capital_Structure!$B$56,Capital_Structure!$D$48:$D$57))/(Capital_Structure!$B$9+SUMIF(Capital_Structure!$B$48:$B$57,"&lt;="&amp;Capital_Structure!$B$56,Capital_Structure!$C$48:$C$57))&gt;Capital_Structure!$B$56,1,0)</f>
        <v>1</v>
      </c>
      <c r="O90" s="7" t="n">
        <f aca="false">IF((E90+SUMIF(Capital_Structure!$B$48:$B$57,"&lt;="&amp;Capital_Structure!$B$57,Capital_Structure!$D$48:$D$57))/(Capital_Structure!$B$9+SUMIF(Capital_Structure!$B$48:$B$57,"&lt;="&amp;Capital_Structure!$B$57,Capital_Structure!$C$48:$C$57))&gt;Capital_Structure!$B$57,1,0)</f>
        <v>1</v>
      </c>
      <c r="P90" s="42" t="n">
        <f aca="false">E90+F90*Capital_Structure!$D$48+G90*Capital_Structure!$D$49+H90*Capital_Structure!$D$50+I90*Capital_Structure!$D$51+J90*Capital_Structure!$D$52+K90*Capital_Structure!$D$53+L90*Capital_Structure!$D$54+M90*Capital_Structure!$D$55+N90*Capital_Structure!$D$56+O90*Capital_Structure!$D$57</f>
        <v>35696.0269032646</v>
      </c>
      <c r="Q90" s="42" t="n">
        <f aca="false">Capital_Structure!$B$9+F90*Capital_Structure!$C$48+G90*Capital_Structure!$C$49+H90*Capital_Structure!$C$50+I90*Capital_Structure!$C$51+J90*Capital_Structure!$C$52+K90*Capital_Structure!$C$53+L90*Capital_Structure!$C$54+M90*Capital_Structure!$C$55+N90*Capital_Structure!$C$56+O90*Capital_Structure!$C$57</f>
        <v>408.847777017284</v>
      </c>
      <c r="R90" s="46" t="n">
        <f aca="false">MAX(0,P90/Q90)</f>
        <v>87.3088442933017</v>
      </c>
    </row>
    <row r="91" customFormat="false" ht="15" hidden="false" customHeight="false" outlineLevel="0" collapsed="false">
      <c r="A91" s="7" t="s">
        <v>733</v>
      </c>
      <c r="B91" s="48" t="n">
        <f aca="false">$A$8</f>
        <v>0</v>
      </c>
      <c r="C91" s="48" t="n">
        <f aca="false">B$5</f>
        <v>0.015</v>
      </c>
      <c r="D91" s="42" t="n">
        <f aca="false">SUMPRODUCT(Calc_Base!$D$68:$R$68,$B$68:$P$68)+(Calc_Base!R49*(1+C91)-Inputs!$D$22*MAX(0,Calc_Base!R49*(1+C91)-(Calc_Base!$C$79/(1+Calc_Base!$C$77)*(1+C91))-Calc_Base!R52*(1+C91))-(Calc_Base!$C$79/(1+Calc_Base!$C$77)*(1+C91))-Calc_Base!R52*(1+C91)-Inputs!$D$42*Calc_Base!R37*C91)*(1+(WACC!$C$16+B91))^0.5/((WACC!$C$16+B91)-C91)/$P$67</f>
        <v>21283.3307040078</v>
      </c>
      <c r="E91" s="42" t="n">
        <f aca="false">D91+Capital_Structure!$D$20-Capital_Structure!$B$26-Capital_Structure!$B$35</f>
        <v>20866.3817040078</v>
      </c>
      <c r="F91" s="7" t="n">
        <f aca="false">IF((E91+SUMIF(Capital_Structure!$B$48:$B$57,"&lt;="&amp;Capital_Structure!$B$48,Capital_Structure!$D$48:$D$57))/(Capital_Structure!$B$9+SUMIF(Capital_Structure!$B$48:$B$57,"&lt;="&amp;Capital_Structure!$B$48,Capital_Structure!$C$48:$C$57))&gt;Capital_Structure!$B$48,1,0)</f>
        <v>1</v>
      </c>
      <c r="G91" s="7" t="n">
        <f aca="false">IF((E91+SUMIF(Capital_Structure!$B$48:$B$57,"&lt;="&amp;Capital_Structure!$B$49,Capital_Structure!$D$48:$D$57))/(Capital_Structure!$B$9+SUMIF(Capital_Structure!$B$48:$B$57,"&lt;="&amp;Capital_Structure!$B$49,Capital_Structure!$C$48:$C$57))&gt;Capital_Structure!$B$49,1,0)</f>
        <v>0</v>
      </c>
      <c r="H91" s="7" t="n">
        <f aca="false">IF((E91+SUMIF(Capital_Structure!$B$48:$B$57,"&lt;="&amp;Capital_Structure!$B$50,Capital_Structure!$D$48:$D$57))/(Capital_Structure!$B$9+SUMIF(Capital_Structure!$B$48:$B$57,"&lt;="&amp;Capital_Structure!$B$50,Capital_Structure!$C$48:$C$57))&gt;Capital_Structure!$B$50,1,0)</f>
        <v>0</v>
      </c>
      <c r="I91" s="7" t="n">
        <f aca="false">IF((E91+SUMIF(Capital_Structure!$B$48:$B$57,"&lt;="&amp;Capital_Structure!$B$51,Capital_Structure!$D$48:$D$57))/(Capital_Structure!$B$9+SUMIF(Capital_Structure!$B$48:$B$57,"&lt;="&amp;Capital_Structure!$B$51,Capital_Structure!$C$48:$C$57))&gt;Capital_Structure!$B$51,1,0)</f>
        <v>0</v>
      </c>
      <c r="J91" s="7" t="n">
        <f aca="false">IF((E91+SUMIF(Capital_Structure!$B$48:$B$57,"&lt;="&amp;Capital_Structure!$B$52,Capital_Structure!$D$48:$D$57))/(Capital_Structure!$B$9+SUMIF(Capital_Structure!$B$48:$B$57,"&lt;="&amp;Capital_Structure!$B$52,Capital_Structure!$C$48:$C$57))&gt;Capital_Structure!$B$52,1,0)</f>
        <v>0</v>
      </c>
      <c r="K91" s="7" t="n">
        <f aca="false">IF((E91+SUMIF(Capital_Structure!$B$48:$B$57,"&lt;="&amp;Capital_Structure!$B$53,Capital_Structure!$D$48:$D$57))/(Capital_Structure!$B$9+SUMIF(Capital_Structure!$B$48:$B$57,"&lt;="&amp;Capital_Structure!$B$53,Capital_Structure!$C$48:$C$57))&gt;Capital_Structure!$B$53,1,0)</f>
        <v>1</v>
      </c>
      <c r="L91" s="7" t="n">
        <f aca="false">IF((E91+SUMIF(Capital_Structure!$B$48:$B$57,"&lt;="&amp;Capital_Structure!$B$54,Capital_Structure!$D$48:$D$57))/(Capital_Structure!$B$9+SUMIF(Capital_Structure!$B$48:$B$57,"&lt;="&amp;Capital_Structure!$B$54,Capital_Structure!$C$48:$C$57))&gt;Capital_Structure!$B$54,1,0)</f>
        <v>1</v>
      </c>
      <c r="M91" s="7" t="n">
        <f aca="false">IF((E91+SUMIF(Capital_Structure!$B$48:$B$57,"&lt;="&amp;Capital_Structure!$B$55,Capital_Structure!$D$48:$D$57))/(Capital_Structure!$B$9+SUMIF(Capital_Structure!$B$48:$B$57,"&lt;="&amp;Capital_Structure!$B$55,Capital_Structure!$C$48:$C$57))&gt;Capital_Structure!$B$55,1,0)</f>
        <v>1</v>
      </c>
      <c r="N91" s="7" t="n">
        <f aca="false">IF((E91+SUMIF(Capital_Structure!$B$48:$B$57,"&lt;="&amp;Capital_Structure!$B$56,Capital_Structure!$D$48:$D$57))/(Capital_Structure!$B$9+SUMIF(Capital_Structure!$B$48:$B$57,"&lt;="&amp;Capital_Structure!$B$56,Capital_Structure!$C$48:$C$57))&gt;Capital_Structure!$B$56,1,0)</f>
        <v>1</v>
      </c>
      <c r="O91" s="7" t="n">
        <f aca="false">IF((E91+SUMIF(Capital_Structure!$B$48:$B$57,"&lt;="&amp;Capital_Structure!$B$57,Capital_Structure!$D$48:$D$57))/(Capital_Structure!$B$9+SUMIF(Capital_Structure!$B$48:$B$57,"&lt;="&amp;Capital_Structure!$B$57,Capital_Structure!$C$48:$C$57))&gt;Capital_Structure!$B$57,1,0)</f>
        <v>1</v>
      </c>
      <c r="P91" s="42" t="n">
        <f aca="false">E91+F91*Capital_Structure!$D$48+G91*Capital_Structure!$D$49+H91*Capital_Structure!$D$50+I91*Capital_Structure!$D$51+J91*Capital_Structure!$D$52+K91*Capital_Structure!$D$53+L91*Capital_Structure!$D$54+M91*Capital_Structure!$D$55+N91*Capital_Structure!$D$56+O91*Capital_Structure!$D$57</f>
        <v>20894.6532789778</v>
      </c>
      <c r="Q91" s="42" t="n">
        <f aca="false">Capital_Structure!$B$9+F91*Capital_Structure!$C$48+G91*Capital_Structure!$C$49+H91*Capital_Structure!$C$50+I91*Capital_Structure!$C$51+J91*Capital_Structure!$C$52+K91*Capital_Structure!$C$53+L91*Capital_Structure!$C$54+M91*Capital_Structure!$C$55+N91*Capital_Structure!$C$56+O91*Capital_Structure!$C$57</f>
        <v>404.338272369026</v>
      </c>
      <c r="R91" s="46" t="n">
        <f aca="false">MAX(0,P91/Q91)</f>
        <v>51.6761699469002</v>
      </c>
    </row>
    <row r="92" customFormat="false" ht="15" hidden="false" customHeight="false" outlineLevel="0" collapsed="false">
      <c r="A92" s="7" t="s">
        <v>734</v>
      </c>
      <c r="B92" s="48" t="n">
        <f aca="false">$A$8</f>
        <v>0</v>
      </c>
      <c r="C92" s="48" t="n">
        <f aca="false">C$5</f>
        <v>0.02</v>
      </c>
      <c r="D92" s="42" t="n">
        <f aca="false">SUMPRODUCT(Calc_Base!$D$68:$R$68,$B$68:$P$68)+(Calc_Base!R49*(1+C92)-Inputs!$D$22*MAX(0,Calc_Base!R49*(1+C92)-(Calc_Base!$C$79/(1+Calc_Base!$C$77)*(1+C92))-Calc_Base!R52*(1+C92))-(Calc_Base!$C$79/(1+Calc_Base!$C$77)*(1+C92))-Calc_Base!R52*(1+C92)-Inputs!$D$42*Calc_Base!R37*C92)*(1+(WACC!$C$16+B92))^0.5/((WACC!$C$16+B92)-C92)/$P$67</f>
        <v>22347.7104631531</v>
      </c>
      <c r="E92" s="42" t="n">
        <f aca="false">D92+Capital_Structure!$D$20-Capital_Structure!$B$26-Capital_Structure!$B$35</f>
        <v>21930.7614631531</v>
      </c>
      <c r="F92" s="7" t="n">
        <f aca="false">IF((E92+SUMIF(Capital_Structure!$B$48:$B$57,"&lt;="&amp;Capital_Structure!$B$48,Capital_Structure!$D$48:$D$57))/(Capital_Structure!$B$9+SUMIF(Capital_Structure!$B$48:$B$57,"&lt;="&amp;Capital_Structure!$B$48,Capital_Structure!$C$48:$C$57))&gt;Capital_Structure!$B$48,1,0)</f>
        <v>1</v>
      </c>
      <c r="G92" s="7" t="n">
        <f aca="false">IF((E92+SUMIF(Capital_Structure!$B$48:$B$57,"&lt;="&amp;Capital_Structure!$B$49,Capital_Structure!$D$48:$D$57))/(Capital_Structure!$B$9+SUMIF(Capital_Structure!$B$48:$B$57,"&lt;="&amp;Capital_Structure!$B$49,Capital_Structure!$C$48:$C$57))&gt;Capital_Structure!$B$49,1,0)</f>
        <v>0</v>
      </c>
      <c r="H92" s="7" t="n">
        <f aca="false">IF((E92+SUMIF(Capital_Structure!$B$48:$B$57,"&lt;="&amp;Capital_Structure!$B$50,Capital_Structure!$D$48:$D$57))/(Capital_Structure!$B$9+SUMIF(Capital_Structure!$B$48:$B$57,"&lt;="&amp;Capital_Structure!$B$50,Capital_Structure!$C$48:$C$57))&gt;Capital_Structure!$B$50,1,0)</f>
        <v>0</v>
      </c>
      <c r="I92" s="7" t="n">
        <f aca="false">IF((E92+SUMIF(Capital_Structure!$B$48:$B$57,"&lt;="&amp;Capital_Structure!$B$51,Capital_Structure!$D$48:$D$57))/(Capital_Structure!$B$9+SUMIF(Capital_Structure!$B$48:$B$57,"&lt;="&amp;Capital_Structure!$B$51,Capital_Structure!$C$48:$C$57))&gt;Capital_Structure!$B$51,1,0)</f>
        <v>0</v>
      </c>
      <c r="J92" s="7" t="n">
        <f aca="false">IF((E92+SUMIF(Capital_Structure!$B$48:$B$57,"&lt;="&amp;Capital_Structure!$B$52,Capital_Structure!$D$48:$D$57))/(Capital_Structure!$B$9+SUMIF(Capital_Structure!$B$48:$B$57,"&lt;="&amp;Capital_Structure!$B$52,Capital_Structure!$C$48:$C$57))&gt;Capital_Structure!$B$52,1,0)</f>
        <v>0</v>
      </c>
      <c r="K92" s="7" t="n">
        <f aca="false">IF((E92+SUMIF(Capital_Structure!$B$48:$B$57,"&lt;="&amp;Capital_Structure!$B$53,Capital_Structure!$D$48:$D$57))/(Capital_Structure!$B$9+SUMIF(Capital_Structure!$B$48:$B$57,"&lt;="&amp;Capital_Structure!$B$53,Capital_Structure!$C$48:$C$57))&gt;Capital_Structure!$B$53,1,0)</f>
        <v>1</v>
      </c>
      <c r="L92" s="7" t="n">
        <f aca="false">IF((E92+SUMIF(Capital_Structure!$B$48:$B$57,"&lt;="&amp;Capital_Structure!$B$54,Capital_Structure!$D$48:$D$57))/(Capital_Structure!$B$9+SUMIF(Capital_Structure!$B$48:$B$57,"&lt;="&amp;Capital_Structure!$B$54,Capital_Structure!$C$48:$C$57))&gt;Capital_Structure!$B$54,1,0)</f>
        <v>1</v>
      </c>
      <c r="M92" s="7" t="n">
        <f aca="false">IF((E92+SUMIF(Capital_Structure!$B$48:$B$57,"&lt;="&amp;Capital_Structure!$B$55,Capital_Structure!$D$48:$D$57))/(Capital_Structure!$B$9+SUMIF(Capital_Structure!$B$48:$B$57,"&lt;="&amp;Capital_Structure!$B$55,Capital_Structure!$C$48:$C$57))&gt;Capital_Structure!$B$55,1,0)</f>
        <v>1</v>
      </c>
      <c r="N92" s="7" t="n">
        <f aca="false">IF((E92+SUMIF(Capital_Structure!$B$48:$B$57,"&lt;="&amp;Capital_Structure!$B$56,Capital_Structure!$D$48:$D$57))/(Capital_Structure!$B$9+SUMIF(Capital_Structure!$B$48:$B$57,"&lt;="&amp;Capital_Structure!$B$56,Capital_Structure!$C$48:$C$57))&gt;Capital_Structure!$B$56,1,0)</f>
        <v>1</v>
      </c>
      <c r="O92" s="7" t="n">
        <f aca="false">IF((E92+SUMIF(Capital_Structure!$B$48:$B$57,"&lt;="&amp;Capital_Structure!$B$57,Capital_Structure!$D$48:$D$57))/(Capital_Structure!$B$9+SUMIF(Capital_Structure!$B$48:$B$57,"&lt;="&amp;Capital_Structure!$B$57,Capital_Structure!$C$48:$C$57))&gt;Capital_Structure!$B$57,1,0)</f>
        <v>1</v>
      </c>
      <c r="P92" s="42" t="n">
        <f aca="false">E92+F92*Capital_Structure!$D$48+G92*Capital_Structure!$D$49+H92*Capital_Structure!$D$50+I92*Capital_Structure!$D$51+J92*Capital_Structure!$D$52+K92*Capital_Structure!$D$53+L92*Capital_Structure!$D$54+M92*Capital_Structure!$D$55+N92*Capital_Structure!$D$56+O92*Capital_Structure!$D$57</f>
        <v>21959.0330381231</v>
      </c>
      <c r="Q92" s="42" t="n">
        <f aca="false">Capital_Structure!$B$9+F92*Capital_Structure!$C$48+G92*Capital_Structure!$C$49+H92*Capital_Structure!$C$50+I92*Capital_Structure!$C$51+J92*Capital_Structure!$C$52+K92*Capital_Structure!$C$53+L92*Capital_Structure!$C$54+M92*Capital_Structure!$C$55+N92*Capital_Structure!$C$56+O92*Capital_Structure!$C$57</f>
        <v>404.338272369026</v>
      </c>
      <c r="R92" s="46" t="n">
        <f aca="false">MAX(0,P92/Q92)</f>
        <v>54.3085691825925</v>
      </c>
    </row>
    <row r="93" customFormat="false" ht="15" hidden="false" customHeight="false" outlineLevel="0" collapsed="false">
      <c r="A93" s="7" t="s">
        <v>735</v>
      </c>
      <c r="B93" s="48" t="n">
        <f aca="false">$A$8</f>
        <v>0</v>
      </c>
      <c r="C93" s="48" t="n">
        <f aca="false">D$5</f>
        <v>0.025</v>
      </c>
      <c r="D93" s="42" t="n">
        <f aca="false">SUMPRODUCT(Calc_Base!$D$68:$R$68,$B$68:$P$68)+(Calc_Base!R49*(1+C93)-Inputs!$D$22*MAX(0,Calc_Base!R49*(1+C93)-(Calc_Base!$C$79/(1+Calc_Base!$C$77)*(1+C93))-Calc_Base!R52*(1+C93))-(Calc_Base!$C$79/(1+Calc_Base!$C$77)*(1+C93))-Calc_Base!R52*(1+C93)-Inputs!$D$42*Calc_Base!R37*C93)*(1+(WACC!$C$16+B93))^0.5/((WACC!$C$16+B93)-C93)/$P$67</f>
        <v>23596.9586129446</v>
      </c>
      <c r="E93" s="42" t="n">
        <f aca="false">D93+Capital_Structure!$D$20-Capital_Structure!$B$26-Capital_Structure!$B$35</f>
        <v>23180.0096129446</v>
      </c>
      <c r="F93" s="7" t="n">
        <f aca="false">IF((E93+SUMIF(Capital_Structure!$B$48:$B$57,"&lt;="&amp;Capital_Structure!$B$48,Capital_Structure!$D$48:$D$57))/(Capital_Structure!$B$9+SUMIF(Capital_Structure!$B$48:$B$57,"&lt;="&amp;Capital_Structure!$B$48,Capital_Structure!$C$48:$C$57))&gt;Capital_Structure!$B$48,1,0)</f>
        <v>1</v>
      </c>
      <c r="G93" s="7" t="n">
        <f aca="false">IF((E93+SUMIF(Capital_Structure!$B$48:$B$57,"&lt;="&amp;Capital_Structure!$B$49,Capital_Structure!$D$48:$D$57))/(Capital_Structure!$B$9+SUMIF(Capital_Structure!$B$48:$B$57,"&lt;="&amp;Capital_Structure!$B$49,Capital_Structure!$C$48:$C$57))&gt;Capital_Structure!$B$49,1,0)</f>
        <v>0</v>
      </c>
      <c r="H93" s="7" t="n">
        <f aca="false">IF((E93+SUMIF(Capital_Structure!$B$48:$B$57,"&lt;="&amp;Capital_Structure!$B$50,Capital_Structure!$D$48:$D$57))/(Capital_Structure!$B$9+SUMIF(Capital_Structure!$B$48:$B$57,"&lt;="&amp;Capital_Structure!$B$50,Capital_Structure!$C$48:$C$57))&gt;Capital_Structure!$B$50,1,0)</f>
        <v>0</v>
      </c>
      <c r="I93" s="7" t="n">
        <f aca="false">IF((E93+SUMIF(Capital_Structure!$B$48:$B$57,"&lt;="&amp;Capital_Structure!$B$51,Capital_Structure!$D$48:$D$57))/(Capital_Structure!$B$9+SUMIF(Capital_Structure!$B$48:$B$57,"&lt;="&amp;Capital_Structure!$B$51,Capital_Structure!$C$48:$C$57))&gt;Capital_Structure!$B$51,1,0)</f>
        <v>0</v>
      </c>
      <c r="J93" s="7" t="n">
        <f aca="false">IF((E93+SUMIF(Capital_Structure!$B$48:$B$57,"&lt;="&amp;Capital_Structure!$B$52,Capital_Structure!$D$48:$D$57))/(Capital_Structure!$B$9+SUMIF(Capital_Structure!$B$48:$B$57,"&lt;="&amp;Capital_Structure!$B$52,Capital_Structure!$C$48:$C$57))&gt;Capital_Structure!$B$52,1,0)</f>
        <v>0</v>
      </c>
      <c r="K93" s="7" t="n">
        <f aca="false">IF((E93+SUMIF(Capital_Structure!$B$48:$B$57,"&lt;="&amp;Capital_Structure!$B$53,Capital_Structure!$D$48:$D$57))/(Capital_Structure!$B$9+SUMIF(Capital_Structure!$B$48:$B$57,"&lt;="&amp;Capital_Structure!$B$53,Capital_Structure!$C$48:$C$57))&gt;Capital_Structure!$B$53,1,0)</f>
        <v>1</v>
      </c>
      <c r="L93" s="7" t="n">
        <f aca="false">IF((E93+SUMIF(Capital_Structure!$B$48:$B$57,"&lt;="&amp;Capital_Structure!$B$54,Capital_Structure!$D$48:$D$57))/(Capital_Structure!$B$9+SUMIF(Capital_Structure!$B$48:$B$57,"&lt;="&amp;Capital_Structure!$B$54,Capital_Structure!$C$48:$C$57))&gt;Capital_Structure!$B$54,1,0)</f>
        <v>1</v>
      </c>
      <c r="M93" s="7" t="n">
        <f aca="false">IF((E93+SUMIF(Capital_Structure!$B$48:$B$57,"&lt;="&amp;Capital_Structure!$B$55,Capital_Structure!$D$48:$D$57))/(Capital_Structure!$B$9+SUMIF(Capital_Structure!$B$48:$B$57,"&lt;="&amp;Capital_Structure!$B$55,Capital_Structure!$C$48:$C$57))&gt;Capital_Structure!$B$55,1,0)</f>
        <v>1</v>
      </c>
      <c r="N93" s="7" t="n">
        <f aca="false">IF((E93+SUMIF(Capital_Structure!$B$48:$B$57,"&lt;="&amp;Capital_Structure!$B$56,Capital_Structure!$D$48:$D$57))/(Capital_Structure!$B$9+SUMIF(Capital_Structure!$B$48:$B$57,"&lt;="&amp;Capital_Structure!$B$56,Capital_Structure!$C$48:$C$57))&gt;Capital_Structure!$B$56,1,0)</f>
        <v>1</v>
      </c>
      <c r="O93" s="7" t="n">
        <f aca="false">IF((E93+SUMIF(Capital_Structure!$B$48:$B$57,"&lt;="&amp;Capital_Structure!$B$57,Capital_Structure!$D$48:$D$57))/(Capital_Structure!$B$9+SUMIF(Capital_Structure!$B$48:$B$57,"&lt;="&amp;Capital_Structure!$B$57,Capital_Structure!$C$48:$C$57))&gt;Capital_Structure!$B$57,1,0)</f>
        <v>1</v>
      </c>
      <c r="P93" s="42" t="n">
        <f aca="false">E93+F93*Capital_Structure!$D$48+G93*Capital_Structure!$D$49+H93*Capital_Structure!$D$50+I93*Capital_Structure!$D$51+J93*Capital_Structure!$D$52+K93*Capital_Structure!$D$53+L93*Capital_Structure!$D$54+M93*Capital_Structure!$D$55+N93*Capital_Structure!$D$56+O93*Capital_Structure!$D$57</f>
        <v>23208.2811879146</v>
      </c>
      <c r="Q93" s="42" t="n">
        <f aca="false">Capital_Structure!$B$9+F93*Capital_Structure!$C$48+G93*Capital_Structure!$C$49+H93*Capital_Structure!$C$50+I93*Capital_Structure!$C$51+J93*Capital_Structure!$C$52+K93*Capital_Structure!$C$53+L93*Capital_Structure!$C$54+M93*Capital_Structure!$C$55+N93*Capital_Structure!$C$56+O93*Capital_Structure!$C$57</f>
        <v>404.338272369026</v>
      </c>
      <c r="R93" s="46" t="n">
        <f aca="false">MAX(0,P93/Q93)</f>
        <v>57.3981806172759</v>
      </c>
    </row>
    <row r="94" customFormat="false" ht="15" hidden="false" customHeight="false" outlineLevel="0" collapsed="false">
      <c r="A94" s="7" t="s">
        <v>736</v>
      </c>
      <c r="B94" s="48" t="n">
        <f aca="false">$A$8</f>
        <v>0</v>
      </c>
      <c r="C94" s="48" t="n">
        <f aca="false">E$5</f>
        <v>0.03</v>
      </c>
      <c r="D94" s="42" t="n">
        <f aca="false">SUMPRODUCT(Calc_Base!$D$68:$R$68,$B$68:$P$68)+(Calc_Base!R49*(1+C94)-Inputs!$D$22*MAX(0,Calc_Base!R49*(1+C94)-(Calc_Base!$C$79/(1+Calc_Base!$C$77)*(1+C94))-Calc_Base!R52*(1+C94))-(Calc_Base!$C$79/(1+Calc_Base!$C$77)*(1+C94))-Calc_Base!R52*(1+C94)-Inputs!$D$42*Calc_Base!R37*C94)*(1+(WACC!$C$16+B94))^0.5/((WACC!$C$16+B94)-C94)/$P$67</f>
        <v>25083.8193447222</v>
      </c>
      <c r="E94" s="42" t="n">
        <f aca="false">D94+Capital_Structure!$D$20-Capital_Structure!$B$26-Capital_Structure!$B$35</f>
        <v>24666.8703447222</v>
      </c>
      <c r="F94" s="7" t="n">
        <f aca="false">IF((E94+SUMIF(Capital_Structure!$B$48:$B$57,"&lt;="&amp;Capital_Structure!$B$48,Capital_Structure!$D$48:$D$57))/(Capital_Structure!$B$9+SUMIF(Capital_Structure!$B$48:$B$57,"&lt;="&amp;Capital_Structure!$B$48,Capital_Structure!$C$48:$C$57))&gt;Capital_Structure!$B$48,1,0)</f>
        <v>1</v>
      </c>
      <c r="G94" s="7" t="n">
        <f aca="false">IF((E94+SUMIF(Capital_Structure!$B$48:$B$57,"&lt;="&amp;Capital_Structure!$B$49,Capital_Structure!$D$48:$D$57))/(Capital_Structure!$B$9+SUMIF(Capital_Structure!$B$48:$B$57,"&lt;="&amp;Capital_Structure!$B$49,Capital_Structure!$C$48:$C$57))&gt;Capital_Structure!$B$49,1,0)</f>
        <v>0</v>
      </c>
      <c r="H94" s="7" t="n">
        <f aca="false">IF((E94+SUMIF(Capital_Structure!$B$48:$B$57,"&lt;="&amp;Capital_Structure!$B$50,Capital_Structure!$D$48:$D$57))/(Capital_Structure!$B$9+SUMIF(Capital_Structure!$B$48:$B$57,"&lt;="&amp;Capital_Structure!$B$50,Capital_Structure!$C$48:$C$57))&gt;Capital_Structure!$B$50,1,0)</f>
        <v>0</v>
      </c>
      <c r="I94" s="7" t="n">
        <f aca="false">IF((E94+SUMIF(Capital_Structure!$B$48:$B$57,"&lt;="&amp;Capital_Structure!$B$51,Capital_Structure!$D$48:$D$57))/(Capital_Structure!$B$9+SUMIF(Capital_Structure!$B$48:$B$57,"&lt;="&amp;Capital_Structure!$B$51,Capital_Structure!$C$48:$C$57))&gt;Capital_Structure!$B$51,1,0)</f>
        <v>0</v>
      </c>
      <c r="J94" s="7" t="n">
        <f aca="false">IF((E94+SUMIF(Capital_Structure!$B$48:$B$57,"&lt;="&amp;Capital_Structure!$B$52,Capital_Structure!$D$48:$D$57))/(Capital_Structure!$B$9+SUMIF(Capital_Structure!$B$48:$B$57,"&lt;="&amp;Capital_Structure!$B$52,Capital_Structure!$C$48:$C$57))&gt;Capital_Structure!$B$52,1,0)</f>
        <v>0</v>
      </c>
      <c r="K94" s="7" t="n">
        <f aca="false">IF((E94+SUMIF(Capital_Structure!$B$48:$B$57,"&lt;="&amp;Capital_Structure!$B$53,Capital_Structure!$D$48:$D$57))/(Capital_Structure!$B$9+SUMIF(Capital_Structure!$B$48:$B$57,"&lt;="&amp;Capital_Structure!$B$53,Capital_Structure!$C$48:$C$57))&gt;Capital_Structure!$B$53,1,0)</f>
        <v>1</v>
      </c>
      <c r="L94" s="7" t="n">
        <f aca="false">IF((E94+SUMIF(Capital_Structure!$B$48:$B$57,"&lt;="&amp;Capital_Structure!$B$54,Capital_Structure!$D$48:$D$57))/(Capital_Structure!$B$9+SUMIF(Capital_Structure!$B$48:$B$57,"&lt;="&amp;Capital_Structure!$B$54,Capital_Structure!$C$48:$C$57))&gt;Capital_Structure!$B$54,1,0)</f>
        <v>1</v>
      </c>
      <c r="M94" s="7" t="n">
        <f aca="false">IF((E94+SUMIF(Capital_Structure!$B$48:$B$57,"&lt;="&amp;Capital_Structure!$B$55,Capital_Structure!$D$48:$D$57))/(Capital_Structure!$B$9+SUMIF(Capital_Structure!$B$48:$B$57,"&lt;="&amp;Capital_Structure!$B$55,Capital_Structure!$C$48:$C$57))&gt;Capital_Structure!$B$55,1,0)</f>
        <v>1</v>
      </c>
      <c r="N94" s="7" t="n">
        <f aca="false">IF((E94+SUMIF(Capital_Structure!$B$48:$B$57,"&lt;="&amp;Capital_Structure!$B$56,Capital_Structure!$D$48:$D$57))/(Capital_Structure!$B$9+SUMIF(Capital_Structure!$B$48:$B$57,"&lt;="&amp;Capital_Structure!$B$56,Capital_Structure!$C$48:$C$57))&gt;Capital_Structure!$B$56,1,0)</f>
        <v>1</v>
      </c>
      <c r="O94" s="7" t="n">
        <f aca="false">IF((E94+SUMIF(Capital_Structure!$B$48:$B$57,"&lt;="&amp;Capital_Structure!$B$57,Capital_Structure!$D$48:$D$57))/(Capital_Structure!$B$9+SUMIF(Capital_Structure!$B$48:$B$57,"&lt;="&amp;Capital_Structure!$B$57,Capital_Structure!$C$48:$C$57))&gt;Capital_Structure!$B$57,1,0)</f>
        <v>1</v>
      </c>
      <c r="P94" s="42" t="n">
        <f aca="false">E94+F94*Capital_Structure!$D$48+G94*Capital_Structure!$D$49+H94*Capital_Structure!$D$50+I94*Capital_Structure!$D$51+J94*Capital_Structure!$D$52+K94*Capital_Structure!$D$53+L94*Capital_Structure!$D$54+M94*Capital_Structure!$D$55+N94*Capital_Structure!$D$56+O94*Capital_Structure!$D$57</f>
        <v>24695.1419196922</v>
      </c>
      <c r="Q94" s="42" t="n">
        <f aca="false">Capital_Structure!$B$9+F94*Capital_Structure!$C$48+G94*Capital_Structure!$C$49+H94*Capital_Structure!$C$50+I94*Capital_Structure!$C$51+J94*Capital_Structure!$C$52+K94*Capital_Structure!$C$53+L94*Capital_Structure!$C$54+M94*Capital_Structure!$C$55+N94*Capital_Structure!$C$56+O94*Capital_Structure!$C$57</f>
        <v>404.338272369026</v>
      </c>
      <c r="R94" s="46" t="n">
        <f aca="false">MAX(0,P94/Q94)</f>
        <v>61.075449956797</v>
      </c>
    </row>
    <row r="95" customFormat="false" ht="15" hidden="false" customHeight="false" outlineLevel="0" collapsed="false">
      <c r="A95" s="7" t="s">
        <v>737</v>
      </c>
      <c r="B95" s="48" t="n">
        <f aca="false">$A$8</f>
        <v>0</v>
      </c>
      <c r="C95" s="48" t="n">
        <f aca="false">F$5</f>
        <v>0.035</v>
      </c>
      <c r="D95" s="42" t="n">
        <f aca="false">SUMPRODUCT(Calc_Base!$D$68:$R$68,$B$68:$P$68)+(Calc_Base!R49*(1+C95)-Inputs!$D$22*MAX(0,Calc_Base!R49*(1+C95)-(Calc_Base!$C$79/(1+Calc_Base!$C$77)*(1+C95))-Calc_Base!R52*(1+C95))-(Calc_Base!$C$79/(1+Calc_Base!$C$77)*(1+C95))-Calc_Base!R52*(1+C95)-Inputs!$D$42*Calc_Base!R37*C95)*(1+(WACC!$C$16+B95))^0.5/((WACC!$C$16+B95)-C95)/$P$67</f>
        <v>26883.2099202785</v>
      </c>
      <c r="E95" s="42" t="n">
        <f aca="false">D95+Capital_Structure!$D$20-Capital_Structure!$B$26-Capital_Structure!$B$35</f>
        <v>26466.2609202785</v>
      </c>
      <c r="F95" s="7" t="n">
        <f aca="false">IF((E95+SUMIF(Capital_Structure!$B$48:$B$57,"&lt;="&amp;Capital_Structure!$B$48,Capital_Structure!$D$48:$D$57))/(Capital_Structure!$B$9+SUMIF(Capital_Structure!$B$48:$B$57,"&lt;="&amp;Capital_Structure!$B$48,Capital_Structure!$C$48:$C$57))&gt;Capital_Structure!$B$48,1,0)</f>
        <v>1</v>
      </c>
      <c r="G95" s="7" t="n">
        <f aca="false">IF((E95+SUMIF(Capital_Structure!$B$48:$B$57,"&lt;="&amp;Capital_Structure!$B$49,Capital_Structure!$D$48:$D$57))/(Capital_Structure!$B$9+SUMIF(Capital_Structure!$B$48:$B$57,"&lt;="&amp;Capital_Structure!$B$49,Capital_Structure!$C$48:$C$57))&gt;Capital_Structure!$B$49,1,0)</f>
        <v>0</v>
      </c>
      <c r="H95" s="7" t="n">
        <f aca="false">IF((E95+SUMIF(Capital_Structure!$B$48:$B$57,"&lt;="&amp;Capital_Structure!$B$50,Capital_Structure!$D$48:$D$57))/(Capital_Structure!$B$9+SUMIF(Capital_Structure!$B$48:$B$57,"&lt;="&amp;Capital_Structure!$B$50,Capital_Structure!$C$48:$C$57))&gt;Capital_Structure!$B$50,1,0)</f>
        <v>0</v>
      </c>
      <c r="I95" s="7" t="n">
        <f aca="false">IF((E95+SUMIF(Capital_Structure!$B$48:$B$57,"&lt;="&amp;Capital_Structure!$B$51,Capital_Structure!$D$48:$D$57))/(Capital_Structure!$B$9+SUMIF(Capital_Structure!$B$48:$B$57,"&lt;="&amp;Capital_Structure!$B$51,Capital_Structure!$C$48:$C$57))&gt;Capital_Structure!$B$51,1,0)</f>
        <v>0</v>
      </c>
      <c r="J95" s="7" t="n">
        <f aca="false">IF((E95+SUMIF(Capital_Structure!$B$48:$B$57,"&lt;="&amp;Capital_Structure!$B$52,Capital_Structure!$D$48:$D$57))/(Capital_Structure!$B$9+SUMIF(Capital_Structure!$B$48:$B$57,"&lt;="&amp;Capital_Structure!$B$52,Capital_Structure!$C$48:$C$57))&gt;Capital_Structure!$B$52,1,0)</f>
        <v>0</v>
      </c>
      <c r="K95" s="7" t="n">
        <f aca="false">IF((E95+SUMIF(Capital_Structure!$B$48:$B$57,"&lt;="&amp;Capital_Structure!$B$53,Capital_Structure!$D$48:$D$57))/(Capital_Structure!$B$9+SUMIF(Capital_Structure!$B$48:$B$57,"&lt;="&amp;Capital_Structure!$B$53,Capital_Structure!$C$48:$C$57))&gt;Capital_Structure!$B$53,1,0)</f>
        <v>1</v>
      </c>
      <c r="L95" s="7" t="n">
        <f aca="false">IF((E95+SUMIF(Capital_Structure!$B$48:$B$57,"&lt;="&amp;Capital_Structure!$B$54,Capital_Structure!$D$48:$D$57))/(Capital_Structure!$B$9+SUMIF(Capital_Structure!$B$48:$B$57,"&lt;="&amp;Capital_Structure!$B$54,Capital_Structure!$C$48:$C$57))&gt;Capital_Structure!$B$54,1,0)</f>
        <v>1</v>
      </c>
      <c r="M95" s="7" t="n">
        <f aca="false">IF((E95+SUMIF(Capital_Structure!$B$48:$B$57,"&lt;="&amp;Capital_Structure!$B$55,Capital_Structure!$D$48:$D$57))/(Capital_Structure!$B$9+SUMIF(Capital_Structure!$B$48:$B$57,"&lt;="&amp;Capital_Structure!$B$55,Capital_Structure!$C$48:$C$57))&gt;Capital_Structure!$B$55,1,0)</f>
        <v>1</v>
      </c>
      <c r="N95" s="7" t="n">
        <f aca="false">IF((E95+SUMIF(Capital_Structure!$B$48:$B$57,"&lt;="&amp;Capital_Structure!$B$56,Capital_Structure!$D$48:$D$57))/(Capital_Structure!$B$9+SUMIF(Capital_Structure!$B$48:$B$57,"&lt;="&amp;Capital_Structure!$B$56,Capital_Structure!$C$48:$C$57))&gt;Capital_Structure!$B$56,1,0)</f>
        <v>1</v>
      </c>
      <c r="O95" s="7" t="n">
        <f aca="false">IF((E95+SUMIF(Capital_Structure!$B$48:$B$57,"&lt;="&amp;Capital_Structure!$B$57,Capital_Structure!$D$48:$D$57))/(Capital_Structure!$B$9+SUMIF(Capital_Structure!$B$48:$B$57,"&lt;="&amp;Capital_Structure!$B$57,Capital_Structure!$C$48:$C$57))&gt;Capital_Structure!$B$57,1,0)</f>
        <v>1</v>
      </c>
      <c r="P95" s="42" t="n">
        <f aca="false">E95+F95*Capital_Structure!$D$48+G95*Capital_Structure!$D$49+H95*Capital_Structure!$D$50+I95*Capital_Structure!$D$51+J95*Capital_Structure!$D$52+K95*Capital_Structure!$D$53+L95*Capital_Structure!$D$54+M95*Capital_Structure!$D$55+N95*Capital_Structure!$D$56+O95*Capital_Structure!$D$57</f>
        <v>26494.5324952485</v>
      </c>
      <c r="Q95" s="42" t="n">
        <f aca="false">Capital_Structure!$B$9+F95*Capital_Structure!$C$48+G95*Capital_Structure!$C$49+H95*Capital_Structure!$C$50+I95*Capital_Structure!$C$51+J95*Capital_Structure!$C$52+K95*Capital_Structure!$C$53+L95*Capital_Structure!$C$54+M95*Capital_Structure!$C$55+N95*Capital_Structure!$C$56+O95*Capital_Structure!$C$57</f>
        <v>404.338272369026</v>
      </c>
      <c r="R95" s="46" t="n">
        <f aca="false">MAX(0,P95/Q95)</f>
        <v>65.5256608285348</v>
      </c>
    </row>
    <row r="96" customFormat="false" ht="15" hidden="false" customHeight="false" outlineLevel="0" collapsed="false">
      <c r="A96" s="7" t="s">
        <v>738</v>
      </c>
      <c r="B96" s="48" t="n">
        <f aca="false">$A$9</f>
        <v>0.01</v>
      </c>
      <c r="C96" s="48" t="n">
        <f aca="false">B$5</f>
        <v>0.015</v>
      </c>
      <c r="D96" s="42" t="n">
        <f aca="false">SUMPRODUCT(Calc_Base!$D$68:$R$68,$B$71:$P$71)+(Calc_Base!R49*(1+C96)-Inputs!$D$22*MAX(0,Calc_Base!R49*(1+C96)-(Calc_Base!$C$79/(1+Calc_Base!$C$77)*(1+C96))-Calc_Base!R52*(1+C96))-(Calc_Base!$C$79/(1+Calc_Base!$C$77)*(1+C96))-Calc_Base!R52*(1+C96)-Inputs!$D$42*Calc_Base!R37*C96)*(1+(WACC!$C$16+B96))^0.5/((WACC!$C$16+B96)-C96)/$P$70</f>
        <v>17532.867633689</v>
      </c>
      <c r="E96" s="42" t="n">
        <f aca="false">D96+Capital_Structure!$D$20-Capital_Structure!$B$26-Capital_Structure!$B$35</f>
        <v>17115.918633689</v>
      </c>
      <c r="F96" s="7" t="n">
        <f aca="false">IF((E96+SUMIF(Capital_Structure!$B$48:$B$57,"&lt;="&amp;Capital_Structure!$B$48,Capital_Structure!$D$48:$D$57))/(Capital_Structure!$B$9+SUMIF(Capital_Structure!$B$48:$B$57,"&lt;="&amp;Capital_Structure!$B$48,Capital_Structure!$C$48:$C$57))&gt;Capital_Structure!$B$48,1,0)</f>
        <v>1</v>
      </c>
      <c r="G96" s="7" t="n">
        <f aca="false">IF((E96+SUMIF(Capital_Structure!$B$48:$B$57,"&lt;="&amp;Capital_Structure!$B$49,Capital_Structure!$D$48:$D$57))/(Capital_Structure!$B$9+SUMIF(Capital_Structure!$B$48:$B$57,"&lt;="&amp;Capital_Structure!$B$49,Capital_Structure!$C$48:$C$57))&gt;Capital_Structure!$B$49,1,0)</f>
        <v>0</v>
      </c>
      <c r="H96" s="7" t="n">
        <f aca="false">IF((E96+SUMIF(Capital_Structure!$B$48:$B$57,"&lt;="&amp;Capital_Structure!$B$50,Capital_Structure!$D$48:$D$57))/(Capital_Structure!$B$9+SUMIF(Capital_Structure!$B$48:$B$57,"&lt;="&amp;Capital_Structure!$B$50,Capital_Structure!$C$48:$C$57))&gt;Capital_Structure!$B$50,1,0)</f>
        <v>0</v>
      </c>
      <c r="I96" s="7" t="n">
        <f aca="false">IF((E96+SUMIF(Capital_Structure!$B$48:$B$57,"&lt;="&amp;Capital_Structure!$B$51,Capital_Structure!$D$48:$D$57))/(Capital_Structure!$B$9+SUMIF(Capital_Structure!$B$48:$B$57,"&lt;="&amp;Capital_Structure!$B$51,Capital_Structure!$C$48:$C$57))&gt;Capital_Structure!$B$51,1,0)</f>
        <v>0</v>
      </c>
      <c r="J96" s="7" t="n">
        <f aca="false">IF((E96+SUMIF(Capital_Structure!$B$48:$B$57,"&lt;="&amp;Capital_Structure!$B$52,Capital_Structure!$D$48:$D$57))/(Capital_Structure!$B$9+SUMIF(Capital_Structure!$B$48:$B$57,"&lt;="&amp;Capital_Structure!$B$52,Capital_Structure!$C$48:$C$57))&gt;Capital_Structure!$B$52,1,0)</f>
        <v>0</v>
      </c>
      <c r="K96" s="7" t="n">
        <f aca="false">IF((E96+SUMIF(Capital_Structure!$B$48:$B$57,"&lt;="&amp;Capital_Structure!$B$53,Capital_Structure!$D$48:$D$57))/(Capital_Structure!$B$9+SUMIF(Capital_Structure!$B$48:$B$57,"&lt;="&amp;Capital_Structure!$B$53,Capital_Structure!$C$48:$C$57))&gt;Capital_Structure!$B$53,1,0)</f>
        <v>1</v>
      </c>
      <c r="L96" s="7" t="n">
        <f aca="false">IF((E96+SUMIF(Capital_Structure!$B$48:$B$57,"&lt;="&amp;Capital_Structure!$B$54,Capital_Structure!$D$48:$D$57))/(Capital_Structure!$B$9+SUMIF(Capital_Structure!$B$48:$B$57,"&lt;="&amp;Capital_Structure!$B$54,Capital_Structure!$C$48:$C$57))&gt;Capital_Structure!$B$54,1,0)</f>
        <v>1</v>
      </c>
      <c r="M96" s="7" t="n">
        <f aca="false">IF((E96+SUMIF(Capital_Structure!$B$48:$B$57,"&lt;="&amp;Capital_Structure!$B$55,Capital_Structure!$D$48:$D$57))/(Capital_Structure!$B$9+SUMIF(Capital_Structure!$B$48:$B$57,"&lt;="&amp;Capital_Structure!$B$55,Capital_Structure!$C$48:$C$57))&gt;Capital_Structure!$B$55,1,0)</f>
        <v>1</v>
      </c>
      <c r="N96" s="7" t="n">
        <f aca="false">IF((E96+SUMIF(Capital_Structure!$B$48:$B$57,"&lt;="&amp;Capital_Structure!$B$56,Capital_Structure!$D$48:$D$57))/(Capital_Structure!$B$9+SUMIF(Capital_Structure!$B$48:$B$57,"&lt;="&amp;Capital_Structure!$B$56,Capital_Structure!$C$48:$C$57))&gt;Capital_Structure!$B$56,1,0)</f>
        <v>1</v>
      </c>
      <c r="O96" s="7" t="n">
        <f aca="false">IF((E96+SUMIF(Capital_Structure!$B$48:$B$57,"&lt;="&amp;Capital_Structure!$B$57,Capital_Structure!$D$48:$D$57))/(Capital_Structure!$B$9+SUMIF(Capital_Structure!$B$48:$B$57,"&lt;="&amp;Capital_Structure!$B$57,Capital_Structure!$C$48:$C$57))&gt;Capital_Structure!$B$57,1,0)</f>
        <v>1</v>
      </c>
      <c r="P96" s="42" t="n">
        <f aca="false">E96+F96*Capital_Structure!$D$48+G96*Capital_Structure!$D$49+H96*Capital_Structure!$D$50+I96*Capital_Structure!$D$51+J96*Capital_Structure!$D$52+K96*Capital_Structure!$D$53+L96*Capital_Structure!$D$54+M96*Capital_Structure!$D$55+N96*Capital_Structure!$D$56+O96*Capital_Structure!$D$57</f>
        <v>17144.190208659</v>
      </c>
      <c r="Q96" s="42" t="n">
        <f aca="false">Capital_Structure!$B$9+F96*Capital_Structure!$C$48+G96*Capital_Structure!$C$49+H96*Capital_Structure!$C$50+I96*Capital_Structure!$C$51+J96*Capital_Structure!$C$52+K96*Capital_Structure!$C$53+L96*Capital_Structure!$C$54+M96*Capital_Structure!$C$55+N96*Capital_Structure!$C$56+O96*Capital_Structure!$C$57</f>
        <v>404.338272369026</v>
      </c>
      <c r="R96" s="46" t="n">
        <f aca="false">MAX(0,P96/Q96)</f>
        <v>42.4006120128348</v>
      </c>
    </row>
    <row r="97" customFormat="false" ht="15" hidden="false" customHeight="false" outlineLevel="0" collapsed="false">
      <c r="A97" s="7" t="s">
        <v>739</v>
      </c>
      <c r="B97" s="48" t="n">
        <f aca="false">$A$9</f>
        <v>0.01</v>
      </c>
      <c r="C97" s="48" t="n">
        <f aca="false">C$5</f>
        <v>0.02</v>
      </c>
      <c r="D97" s="42" t="n">
        <f aca="false">SUMPRODUCT(Calc_Base!$D$68:$R$68,$B$71:$P$71)+(Calc_Base!R49*(1+C97)-Inputs!$D$22*MAX(0,Calc_Base!R49*(1+C97)-(Calc_Base!$C$79/(1+Calc_Base!$C$77)*(1+C97))-Calc_Base!R52*(1+C97))-(Calc_Base!$C$79/(1+Calc_Base!$C$77)*(1+C97))-Calc_Base!R52*(1+C97)-Inputs!$D$42*Calc_Base!R37*C97)*(1+(WACC!$C$16+B97))^0.5/((WACC!$C$16+B97)-C97)/$P$70</f>
        <v>18243.5093883709</v>
      </c>
      <c r="E97" s="42" t="n">
        <f aca="false">D97+Capital_Structure!$D$20-Capital_Structure!$B$26-Capital_Structure!$B$35</f>
        <v>17826.5603883709</v>
      </c>
      <c r="F97" s="7" t="n">
        <f aca="false">IF((E97+SUMIF(Capital_Structure!$B$48:$B$57,"&lt;="&amp;Capital_Structure!$B$48,Capital_Structure!$D$48:$D$57))/(Capital_Structure!$B$9+SUMIF(Capital_Structure!$B$48:$B$57,"&lt;="&amp;Capital_Structure!$B$48,Capital_Structure!$C$48:$C$57))&gt;Capital_Structure!$B$48,1,0)</f>
        <v>1</v>
      </c>
      <c r="G97" s="7" t="n">
        <f aca="false">IF((E97+SUMIF(Capital_Structure!$B$48:$B$57,"&lt;="&amp;Capital_Structure!$B$49,Capital_Structure!$D$48:$D$57))/(Capital_Structure!$B$9+SUMIF(Capital_Structure!$B$48:$B$57,"&lt;="&amp;Capital_Structure!$B$49,Capital_Structure!$C$48:$C$57))&gt;Capital_Structure!$B$49,1,0)</f>
        <v>0</v>
      </c>
      <c r="H97" s="7" t="n">
        <f aca="false">IF((E97+SUMIF(Capital_Structure!$B$48:$B$57,"&lt;="&amp;Capital_Structure!$B$50,Capital_Structure!$D$48:$D$57))/(Capital_Structure!$B$9+SUMIF(Capital_Structure!$B$48:$B$57,"&lt;="&amp;Capital_Structure!$B$50,Capital_Structure!$C$48:$C$57))&gt;Capital_Structure!$B$50,1,0)</f>
        <v>0</v>
      </c>
      <c r="I97" s="7" t="n">
        <f aca="false">IF((E97+SUMIF(Capital_Structure!$B$48:$B$57,"&lt;="&amp;Capital_Structure!$B$51,Capital_Structure!$D$48:$D$57))/(Capital_Structure!$B$9+SUMIF(Capital_Structure!$B$48:$B$57,"&lt;="&amp;Capital_Structure!$B$51,Capital_Structure!$C$48:$C$57))&gt;Capital_Structure!$B$51,1,0)</f>
        <v>0</v>
      </c>
      <c r="J97" s="7" t="n">
        <f aca="false">IF((E97+SUMIF(Capital_Structure!$B$48:$B$57,"&lt;="&amp;Capital_Structure!$B$52,Capital_Structure!$D$48:$D$57))/(Capital_Structure!$B$9+SUMIF(Capital_Structure!$B$48:$B$57,"&lt;="&amp;Capital_Structure!$B$52,Capital_Structure!$C$48:$C$57))&gt;Capital_Structure!$B$52,1,0)</f>
        <v>0</v>
      </c>
      <c r="K97" s="7" t="n">
        <f aca="false">IF((E97+SUMIF(Capital_Structure!$B$48:$B$57,"&lt;="&amp;Capital_Structure!$B$53,Capital_Structure!$D$48:$D$57))/(Capital_Structure!$B$9+SUMIF(Capital_Structure!$B$48:$B$57,"&lt;="&amp;Capital_Structure!$B$53,Capital_Structure!$C$48:$C$57))&gt;Capital_Structure!$B$53,1,0)</f>
        <v>1</v>
      </c>
      <c r="L97" s="7" t="n">
        <f aca="false">IF((E97+SUMIF(Capital_Structure!$B$48:$B$57,"&lt;="&amp;Capital_Structure!$B$54,Capital_Structure!$D$48:$D$57))/(Capital_Structure!$B$9+SUMIF(Capital_Structure!$B$48:$B$57,"&lt;="&amp;Capital_Structure!$B$54,Capital_Structure!$C$48:$C$57))&gt;Capital_Structure!$B$54,1,0)</f>
        <v>1</v>
      </c>
      <c r="M97" s="7" t="n">
        <f aca="false">IF((E97+SUMIF(Capital_Structure!$B$48:$B$57,"&lt;="&amp;Capital_Structure!$B$55,Capital_Structure!$D$48:$D$57))/(Capital_Structure!$B$9+SUMIF(Capital_Structure!$B$48:$B$57,"&lt;="&amp;Capital_Structure!$B$55,Capital_Structure!$C$48:$C$57))&gt;Capital_Structure!$B$55,1,0)</f>
        <v>1</v>
      </c>
      <c r="N97" s="7" t="n">
        <f aca="false">IF((E97+SUMIF(Capital_Structure!$B$48:$B$57,"&lt;="&amp;Capital_Structure!$B$56,Capital_Structure!$D$48:$D$57))/(Capital_Structure!$B$9+SUMIF(Capital_Structure!$B$48:$B$57,"&lt;="&amp;Capital_Structure!$B$56,Capital_Structure!$C$48:$C$57))&gt;Capital_Structure!$B$56,1,0)</f>
        <v>1</v>
      </c>
      <c r="O97" s="7" t="n">
        <f aca="false">IF((E97+SUMIF(Capital_Structure!$B$48:$B$57,"&lt;="&amp;Capital_Structure!$B$57,Capital_Structure!$D$48:$D$57))/(Capital_Structure!$B$9+SUMIF(Capital_Structure!$B$48:$B$57,"&lt;="&amp;Capital_Structure!$B$57,Capital_Structure!$C$48:$C$57))&gt;Capital_Structure!$B$57,1,0)</f>
        <v>1</v>
      </c>
      <c r="P97" s="42" t="n">
        <f aca="false">E97+F97*Capital_Structure!$D$48+G97*Capital_Structure!$D$49+H97*Capital_Structure!$D$50+I97*Capital_Structure!$D$51+J97*Capital_Structure!$D$52+K97*Capital_Structure!$D$53+L97*Capital_Structure!$D$54+M97*Capital_Structure!$D$55+N97*Capital_Structure!$D$56+O97*Capital_Structure!$D$57</f>
        <v>17854.8319633409</v>
      </c>
      <c r="Q97" s="42" t="n">
        <f aca="false">Capital_Structure!$B$9+F97*Capital_Structure!$C$48+G97*Capital_Structure!$C$49+H97*Capital_Structure!$C$50+I97*Capital_Structure!$C$51+J97*Capital_Structure!$C$52+K97*Capital_Structure!$C$53+L97*Capital_Structure!$C$54+M97*Capital_Structure!$C$55+N97*Capital_Structure!$C$56+O97*Capital_Structure!$C$57</f>
        <v>404.338272369026</v>
      </c>
      <c r="R97" s="46" t="n">
        <f aca="false">MAX(0,P97/Q97)</f>
        <v>44.1581546528582</v>
      </c>
    </row>
    <row r="98" customFormat="false" ht="15" hidden="false" customHeight="false" outlineLevel="0" collapsed="false">
      <c r="A98" s="7" t="s">
        <v>740</v>
      </c>
      <c r="B98" s="48" t="n">
        <f aca="false">$A$9</f>
        <v>0.01</v>
      </c>
      <c r="C98" s="48" t="n">
        <f aca="false">D$5</f>
        <v>0.025</v>
      </c>
      <c r="D98" s="42" t="n">
        <f aca="false">SUMPRODUCT(Calc_Base!$D$68:$R$68,$B$71:$P$71)+(Calc_Base!R49*(1+C98)-Inputs!$D$22*MAX(0,Calc_Base!R49*(1+C98)-(Calc_Base!$C$79/(1+Calc_Base!$C$77)*(1+C98))-Calc_Base!R52*(1+C98))-(Calc_Base!$C$79/(1+Calc_Base!$C$77)*(1+C98))-Calc_Base!R52*(1+C98)-Inputs!$D$42*Calc_Base!R37*C98)*(1+(WACC!$C$16+B98))^0.5/((WACC!$C$16+B98)-C98)/$P$70</f>
        <v>19059.3145547705</v>
      </c>
      <c r="E98" s="42" t="n">
        <f aca="false">D98+Capital_Structure!$D$20-Capital_Structure!$B$26-Capital_Structure!$B$35</f>
        <v>18642.3655547705</v>
      </c>
      <c r="F98" s="7" t="n">
        <f aca="false">IF((E98+SUMIF(Capital_Structure!$B$48:$B$57,"&lt;="&amp;Capital_Structure!$B$48,Capital_Structure!$D$48:$D$57))/(Capital_Structure!$B$9+SUMIF(Capital_Structure!$B$48:$B$57,"&lt;="&amp;Capital_Structure!$B$48,Capital_Structure!$C$48:$C$57))&gt;Capital_Structure!$B$48,1,0)</f>
        <v>1</v>
      </c>
      <c r="G98" s="7" t="n">
        <f aca="false">IF((E98+SUMIF(Capital_Structure!$B$48:$B$57,"&lt;="&amp;Capital_Structure!$B$49,Capital_Structure!$D$48:$D$57))/(Capital_Structure!$B$9+SUMIF(Capital_Structure!$B$48:$B$57,"&lt;="&amp;Capital_Structure!$B$49,Capital_Structure!$C$48:$C$57))&gt;Capital_Structure!$B$49,1,0)</f>
        <v>0</v>
      </c>
      <c r="H98" s="7" t="n">
        <f aca="false">IF((E98+SUMIF(Capital_Structure!$B$48:$B$57,"&lt;="&amp;Capital_Structure!$B$50,Capital_Structure!$D$48:$D$57))/(Capital_Structure!$B$9+SUMIF(Capital_Structure!$B$48:$B$57,"&lt;="&amp;Capital_Structure!$B$50,Capital_Structure!$C$48:$C$57))&gt;Capital_Structure!$B$50,1,0)</f>
        <v>0</v>
      </c>
      <c r="I98" s="7" t="n">
        <f aca="false">IF((E98+SUMIF(Capital_Structure!$B$48:$B$57,"&lt;="&amp;Capital_Structure!$B$51,Capital_Structure!$D$48:$D$57))/(Capital_Structure!$B$9+SUMIF(Capital_Structure!$B$48:$B$57,"&lt;="&amp;Capital_Structure!$B$51,Capital_Structure!$C$48:$C$57))&gt;Capital_Structure!$B$51,1,0)</f>
        <v>0</v>
      </c>
      <c r="J98" s="7" t="n">
        <f aca="false">IF((E98+SUMIF(Capital_Structure!$B$48:$B$57,"&lt;="&amp;Capital_Structure!$B$52,Capital_Structure!$D$48:$D$57))/(Capital_Structure!$B$9+SUMIF(Capital_Structure!$B$48:$B$57,"&lt;="&amp;Capital_Structure!$B$52,Capital_Structure!$C$48:$C$57))&gt;Capital_Structure!$B$52,1,0)</f>
        <v>0</v>
      </c>
      <c r="K98" s="7" t="n">
        <f aca="false">IF((E98+SUMIF(Capital_Structure!$B$48:$B$57,"&lt;="&amp;Capital_Structure!$B$53,Capital_Structure!$D$48:$D$57))/(Capital_Structure!$B$9+SUMIF(Capital_Structure!$B$48:$B$57,"&lt;="&amp;Capital_Structure!$B$53,Capital_Structure!$C$48:$C$57))&gt;Capital_Structure!$B$53,1,0)</f>
        <v>1</v>
      </c>
      <c r="L98" s="7" t="n">
        <f aca="false">IF((E98+SUMIF(Capital_Structure!$B$48:$B$57,"&lt;="&amp;Capital_Structure!$B$54,Capital_Structure!$D$48:$D$57))/(Capital_Structure!$B$9+SUMIF(Capital_Structure!$B$48:$B$57,"&lt;="&amp;Capital_Structure!$B$54,Capital_Structure!$C$48:$C$57))&gt;Capital_Structure!$B$54,1,0)</f>
        <v>1</v>
      </c>
      <c r="M98" s="7" t="n">
        <f aca="false">IF((E98+SUMIF(Capital_Structure!$B$48:$B$57,"&lt;="&amp;Capital_Structure!$B$55,Capital_Structure!$D$48:$D$57))/(Capital_Structure!$B$9+SUMIF(Capital_Structure!$B$48:$B$57,"&lt;="&amp;Capital_Structure!$B$55,Capital_Structure!$C$48:$C$57))&gt;Capital_Structure!$B$55,1,0)</f>
        <v>1</v>
      </c>
      <c r="N98" s="7" t="n">
        <f aca="false">IF((E98+SUMIF(Capital_Structure!$B$48:$B$57,"&lt;="&amp;Capital_Structure!$B$56,Capital_Structure!$D$48:$D$57))/(Capital_Structure!$B$9+SUMIF(Capital_Structure!$B$48:$B$57,"&lt;="&amp;Capital_Structure!$B$56,Capital_Structure!$C$48:$C$57))&gt;Capital_Structure!$B$56,1,0)</f>
        <v>1</v>
      </c>
      <c r="O98" s="7" t="n">
        <f aca="false">IF((E98+SUMIF(Capital_Structure!$B$48:$B$57,"&lt;="&amp;Capital_Structure!$B$57,Capital_Structure!$D$48:$D$57))/(Capital_Structure!$B$9+SUMIF(Capital_Structure!$B$48:$B$57,"&lt;="&amp;Capital_Structure!$B$57,Capital_Structure!$C$48:$C$57))&gt;Capital_Structure!$B$57,1,0)</f>
        <v>1</v>
      </c>
      <c r="P98" s="42" t="n">
        <f aca="false">E98+F98*Capital_Structure!$D$48+G98*Capital_Structure!$D$49+H98*Capital_Structure!$D$50+I98*Capital_Structure!$D$51+J98*Capital_Structure!$D$52+K98*Capital_Structure!$D$53+L98*Capital_Structure!$D$54+M98*Capital_Structure!$D$55+N98*Capital_Structure!$D$56+O98*Capital_Structure!$D$57</f>
        <v>18670.6371297405</v>
      </c>
      <c r="Q98" s="42" t="n">
        <f aca="false">Capital_Structure!$B$9+F98*Capital_Structure!$C$48+G98*Capital_Structure!$C$49+H98*Capital_Structure!$C$50+I98*Capital_Structure!$C$51+J98*Capital_Structure!$C$52+K98*Capital_Structure!$C$53+L98*Capital_Structure!$C$54+M98*Capital_Structure!$C$55+N98*Capital_Structure!$C$56+O98*Capital_Structure!$C$57</f>
        <v>404.338272369026</v>
      </c>
      <c r="R98" s="46" t="n">
        <f aca="false">MAX(0,P98/Q98)</f>
        <v>46.1757849939579</v>
      </c>
    </row>
    <row r="99" customFormat="false" ht="15" hidden="false" customHeight="false" outlineLevel="0" collapsed="false">
      <c r="A99" s="7" t="s">
        <v>741</v>
      </c>
      <c r="B99" s="48" t="n">
        <f aca="false">$A$9</f>
        <v>0.01</v>
      </c>
      <c r="C99" s="48" t="n">
        <f aca="false">E$5</f>
        <v>0.03</v>
      </c>
      <c r="D99" s="42" t="n">
        <f aca="false">SUMPRODUCT(Calc_Base!$D$68:$R$68,$B$71:$P$71)+(Calc_Base!R49*(1+C99)-Inputs!$D$22*MAX(0,Calc_Base!R49*(1+C99)-(Calc_Base!$C$79/(1+Calc_Base!$C$77)*(1+C99))-Calc_Base!R52*(1+C99))-(Calc_Base!$C$79/(1+Calc_Base!$C$77)*(1+C99))-Calc_Base!R52*(1+C99)-Inputs!$D$42*Calc_Base!R37*C99)*(1+(WACC!$C$16+B99))^0.5/((WACC!$C$16+B99)-C99)/$P$70</f>
        <v>20005.4921009383</v>
      </c>
      <c r="E99" s="42" t="n">
        <f aca="false">D99+Capital_Structure!$D$20-Capital_Structure!$B$26-Capital_Structure!$B$35</f>
        <v>19588.5431009383</v>
      </c>
      <c r="F99" s="7" t="n">
        <f aca="false">IF((E99+SUMIF(Capital_Structure!$B$48:$B$57,"&lt;="&amp;Capital_Structure!$B$48,Capital_Structure!$D$48:$D$57))/(Capital_Structure!$B$9+SUMIF(Capital_Structure!$B$48:$B$57,"&lt;="&amp;Capital_Structure!$B$48,Capital_Structure!$C$48:$C$57))&gt;Capital_Structure!$B$48,1,0)</f>
        <v>1</v>
      </c>
      <c r="G99" s="7" t="n">
        <f aca="false">IF((E99+SUMIF(Capital_Structure!$B$48:$B$57,"&lt;="&amp;Capital_Structure!$B$49,Capital_Structure!$D$48:$D$57))/(Capital_Structure!$B$9+SUMIF(Capital_Structure!$B$48:$B$57,"&lt;="&amp;Capital_Structure!$B$49,Capital_Structure!$C$48:$C$57))&gt;Capital_Structure!$B$49,1,0)</f>
        <v>0</v>
      </c>
      <c r="H99" s="7" t="n">
        <f aca="false">IF((E99+SUMIF(Capital_Structure!$B$48:$B$57,"&lt;="&amp;Capital_Structure!$B$50,Capital_Structure!$D$48:$D$57))/(Capital_Structure!$B$9+SUMIF(Capital_Structure!$B$48:$B$57,"&lt;="&amp;Capital_Structure!$B$50,Capital_Structure!$C$48:$C$57))&gt;Capital_Structure!$B$50,1,0)</f>
        <v>0</v>
      </c>
      <c r="I99" s="7" t="n">
        <f aca="false">IF((E99+SUMIF(Capital_Structure!$B$48:$B$57,"&lt;="&amp;Capital_Structure!$B$51,Capital_Structure!$D$48:$D$57))/(Capital_Structure!$B$9+SUMIF(Capital_Structure!$B$48:$B$57,"&lt;="&amp;Capital_Structure!$B$51,Capital_Structure!$C$48:$C$57))&gt;Capital_Structure!$B$51,1,0)</f>
        <v>0</v>
      </c>
      <c r="J99" s="7" t="n">
        <f aca="false">IF((E99+SUMIF(Capital_Structure!$B$48:$B$57,"&lt;="&amp;Capital_Structure!$B$52,Capital_Structure!$D$48:$D$57))/(Capital_Structure!$B$9+SUMIF(Capital_Structure!$B$48:$B$57,"&lt;="&amp;Capital_Structure!$B$52,Capital_Structure!$C$48:$C$57))&gt;Capital_Structure!$B$52,1,0)</f>
        <v>0</v>
      </c>
      <c r="K99" s="7" t="n">
        <f aca="false">IF((E99+SUMIF(Capital_Structure!$B$48:$B$57,"&lt;="&amp;Capital_Structure!$B$53,Capital_Structure!$D$48:$D$57))/(Capital_Structure!$B$9+SUMIF(Capital_Structure!$B$48:$B$57,"&lt;="&amp;Capital_Structure!$B$53,Capital_Structure!$C$48:$C$57))&gt;Capital_Structure!$B$53,1,0)</f>
        <v>1</v>
      </c>
      <c r="L99" s="7" t="n">
        <f aca="false">IF((E99+SUMIF(Capital_Structure!$B$48:$B$57,"&lt;="&amp;Capital_Structure!$B$54,Capital_Structure!$D$48:$D$57))/(Capital_Structure!$B$9+SUMIF(Capital_Structure!$B$48:$B$57,"&lt;="&amp;Capital_Structure!$B$54,Capital_Structure!$C$48:$C$57))&gt;Capital_Structure!$B$54,1,0)</f>
        <v>1</v>
      </c>
      <c r="M99" s="7" t="n">
        <f aca="false">IF((E99+SUMIF(Capital_Structure!$B$48:$B$57,"&lt;="&amp;Capital_Structure!$B$55,Capital_Structure!$D$48:$D$57))/(Capital_Structure!$B$9+SUMIF(Capital_Structure!$B$48:$B$57,"&lt;="&amp;Capital_Structure!$B$55,Capital_Structure!$C$48:$C$57))&gt;Capital_Structure!$B$55,1,0)</f>
        <v>1</v>
      </c>
      <c r="N99" s="7" t="n">
        <f aca="false">IF((E99+SUMIF(Capital_Structure!$B$48:$B$57,"&lt;="&amp;Capital_Structure!$B$56,Capital_Structure!$D$48:$D$57))/(Capital_Structure!$B$9+SUMIF(Capital_Structure!$B$48:$B$57,"&lt;="&amp;Capital_Structure!$B$56,Capital_Structure!$C$48:$C$57))&gt;Capital_Structure!$B$56,1,0)</f>
        <v>1</v>
      </c>
      <c r="O99" s="7" t="n">
        <f aca="false">IF((E99+SUMIF(Capital_Structure!$B$48:$B$57,"&lt;="&amp;Capital_Structure!$B$57,Capital_Structure!$D$48:$D$57))/(Capital_Structure!$B$9+SUMIF(Capital_Structure!$B$48:$B$57,"&lt;="&amp;Capital_Structure!$B$57,Capital_Structure!$C$48:$C$57))&gt;Capital_Structure!$B$57,1,0)</f>
        <v>1</v>
      </c>
      <c r="P99" s="42" t="n">
        <f aca="false">E99+F99*Capital_Structure!$D$48+G99*Capital_Structure!$D$49+H99*Capital_Structure!$D$50+I99*Capital_Structure!$D$51+J99*Capital_Structure!$D$52+K99*Capital_Structure!$D$53+L99*Capital_Structure!$D$54+M99*Capital_Structure!$D$55+N99*Capital_Structure!$D$56+O99*Capital_Structure!$D$57</f>
        <v>19616.8146759083</v>
      </c>
      <c r="Q99" s="42" t="n">
        <f aca="false">Capital_Structure!$B$9+F99*Capital_Structure!$C$48+G99*Capital_Structure!$C$49+H99*Capital_Structure!$C$50+I99*Capital_Structure!$C$51+J99*Capital_Structure!$C$52+K99*Capital_Structure!$C$53+L99*Capital_Structure!$C$54+M99*Capital_Structure!$C$55+N99*Capital_Structure!$C$56+O99*Capital_Structure!$C$57</f>
        <v>404.338272369026</v>
      </c>
      <c r="R99" s="46" t="n">
        <f aca="false">MAX(0,P99/Q99)</f>
        <v>48.515849268913</v>
      </c>
    </row>
    <row r="100" customFormat="false" ht="15" hidden="false" customHeight="false" outlineLevel="0" collapsed="false">
      <c r="A100" s="7" t="s">
        <v>742</v>
      </c>
      <c r="B100" s="48" t="n">
        <f aca="false">$A$9</f>
        <v>0.01</v>
      </c>
      <c r="C100" s="48" t="n">
        <f aca="false">F$5</f>
        <v>0.035</v>
      </c>
      <c r="D100" s="42" t="n">
        <f aca="false">SUMPRODUCT(Calc_Base!$D$68:$R$68,$B$71:$P$71)+(Calc_Base!R49*(1+C100)-Inputs!$D$22*MAX(0,Calc_Base!R49*(1+C100)-(Calc_Base!$C$79/(1+Calc_Base!$C$77)*(1+C100))-Calc_Base!R52*(1+C100))-(Calc_Base!$C$79/(1+Calc_Base!$C$77)*(1+C100))-Calc_Base!R52*(1+C100)-Inputs!$D$42*Calc_Base!R37*C100)*(1+(WACC!$C$16+B100))^0.5/((WACC!$C$16+B100)-C100)/$P$70</f>
        <v>21116.0079095756</v>
      </c>
      <c r="E100" s="42" t="n">
        <f aca="false">D100+Capital_Structure!$D$20-Capital_Structure!$B$26-Capital_Structure!$B$35</f>
        <v>20699.0589095756</v>
      </c>
      <c r="F100" s="7" t="n">
        <f aca="false">IF((E100+SUMIF(Capital_Structure!$B$48:$B$57,"&lt;="&amp;Capital_Structure!$B$48,Capital_Structure!$D$48:$D$57))/(Capital_Structure!$B$9+SUMIF(Capital_Structure!$B$48:$B$57,"&lt;="&amp;Capital_Structure!$B$48,Capital_Structure!$C$48:$C$57))&gt;Capital_Structure!$B$48,1,0)</f>
        <v>1</v>
      </c>
      <c r="G100" s="7" t="n">
        <f aca="false">IF((E100+SUMIF(Capital_Structure!$B$48:$B$57,"&lt;="&amp;Capital_Structure!$B$49,Capital_Structure!$D$48:$D$57))/(Capital_Structure!$B$9+SUMIF(Capital_Structure!$B$48:$B$57,"&lt;="&amp;Capital_Structure!$B$49,Capital_Structure!$C$48:$C$57))&gt;Capital_Structure!$B$49,1,0)</f>
        <v>0</v>
      </c>
      <c r="H100" s="7" t="n">
        <f aca="false">IF((E100+SUMIF(Capital_Structure!$B$48:$B$57,"&lt;="&amp;Capital_Structure!$B$50,Capital_Structure!$D$48:$D$57))/(Capital_Structure!$B$9+SUMIF(Capital_Structure!$B$48:$B$57,"&lt;="&amp;Capital_Structure!$B$50,Capital_Structure!$C$48:$C$57))&gt;Capital_Structure!$B$50,1,0)</f>
        <v>0</v>
      </c>
      <c r="I100" s="7" t="n">
        <f aca="false">IF((E100+SUMIF(Capital_Structure!$B$48:$B$57,"&lt;="&amp;Capital_Structure!$B$51,Capital_Structure!$D$48:$D$57))/(Capital_Structure!$B$9+SUMIF(Capital_Structure!$B$48:$B$57,"&lt;="&amp;Capital_Structure!$B$51,Capital_Structure!$C$48:$C$57))&gt;Capital_Structure!$B$51,1,0)</f>
        <v>0</v>
      </c>
      <c r="J100" s="7" t="n">
        <f aca="false">IF((E100+SUMIF(Capital_Structure!$B$48:$B$57,"&lt;="&amp;Capital_Structure!$B$52,Capital_Structure!$D$48:$D$57))/(Capital_Structure!$B$9+SUMIF(Capital_Structure!$B$48:$B$57,"&lt;="&amp;Capital_Structure!$B$52,Capital_Structure!$C$48:$C$57))&gt;Capital_Structure!$B$52,1,0)</f>
        <v>0</v>
      </c>
      <c r="K100" s="7" t="n">
        <f aca="false">IF((E100+SUMIF(Capital_Structure!$B$48:$B$57,"&lt;="&amp;Capital_Structure!$B$53,Capital_Structure!$D$48:$D$57))/(Capital_Structure!$B$9+SUMIF(Capital_Structure!$B$48:$B$57,"&lt;="&amp;Capital_Structure!$B$53,Capital_Structure!$C$48:$C$57))&gt;Capital_Structure!$B$53,1,0)</f>
        <v>1</v>
      </c>
      <c r="L100" s="7" t="n">
        <f aca="false">IF((E100+SUMIF(Capital_Structure!$B$48:$B$57,"&lt;="&amp;Capital_Structure!$B$54,Capital_Structure!$D$48:$D$57))/(Capital_Structure!$B$9+SUMIF(Capital_Structure!$B$48:$B$57,"&lt;="&amp;Capital_Structure!$B$54,Capital_Structure!$C$48:$C$57))&gt;Capital_Structure!$B$54,1,0)</f>
        <v>1</v>
      </c>
      <c r="M100" s="7" t="n">
        <f aca="false">IF((E100+SUMIF(Capital_Structure!$B$48:$B$57,"&lt;="&amp;Capital_Structure!$B$55,Capital_Structure!$D$48:$D$57))/(Capital_Structure!$B$9+SUMIF(Capital_Structure!$B$48:$B$57,"&lt;="&amp;Capital_Structure!$B$55,Capital_Structure!$C$48:$C$57))&gt;Capital_Structure!$B$55,1,0)</f>
        <v>1</v>
      </c>
      <c r="N100" s="7" t="n">
        <f aca="false">IF((E100+SUMIF(Capital_Structure!$B$48:$B$57,"&lt;="&amp;Capital_Structure!$B$56,Capital_Structure!$D$48:$D$57))/(Capital_Structure!$B$9+SUMIF(Capital_Structure!$B$48:$B$57,"&lt;="&amp;Capital_Structure!$B$56,Capital_Structure!$C$48:$C$57))&gt;Capital_Structure!$B$56,1,0)</f>
        <v>1</v>
      </c>
      <c r="O100" s="7" t="n">
        <f aca="false">IF((E100+SUMIF(Capital_Structure!$B$48:$B$57,"&lt;="&amp;Capital_Structure!$B$57,Capital_Structure!$D$48:$D$57))/(Capital_Structure!$B$9+SUMIF(Capital_Structure!$B$48:$B$57,"&lt;="&amp;Capital_Structure!$B$57,Capital_Structure!$C$48:$C$57))&gt;Capital_Structure!$B$57,1,0)</f>
        <v>1</v>
      </c>
      <c r="P100" s="42" t="n">
        <f aca="false">E100+F100*Capital_Structure!$D$48+G100*Capital_Structure!$D$49+H100*Capital_Structure!$D$50+I100*Capital_Structure!$D$51+J100*Capital_Structure!$D$52+K100*Capital_Structure!$D$53+L100*Capital_Structure!$D$54+M100*Capital_Structure!$D$55+N100*Capital_Structure!$D$56+O100*Capital_Structure!$D$57</f>
        <v>20727.3304845456</v>
      </c>
      <c r="Q100" s="42" t="n">
        <f aca="false">Capital_Structure!$B$9+F100*Capital_Structure!$C$48+G100*Capital_Structure!$C$49+H100*Capital_Structure!$C$50+I100*Capital_Structure!$C$51+J100*Capital_Structure!$C$52+K100*Capital_Structure!$C$53+L100*Capital_Structure!$C$54+M100*Capital_Structure!$C$55+N100*Capital_Structure!$C$56+O100*Capital_Structure!$C$57</f>
        <v>404.338272369026</v>
      </c>
      <c r="R100" s="46" t="n">
        <f aca="false">MAX(0,P100/Q100)</f>
        <v>51.2623511079072</v>
      </c>
    </row>
    <row r="101" customFormat="false" ht="15" hidden="false" customHeight="false" outlineLevel="0" collapsed="false">
      <c r="A101" s="7" t="s">
        <v>743</v>
      </c>
      <c r="B101" s="48" t="n">
        <f aca="false">$A$10</f>
        <v>0.02</v>
      </c>
      <c r="C101" s="48" t="n">
        <f aca="false">B$5</f>
        <v>0.015</v>
      </c>
      <c r="D101" s="42" t="n">
        <f aca="false">SUMPRODUCT(Calc_Base!$D$68:$R$68,$B$74:$P$74)+(Calc_Base!R49*(1+C101)-Inputs!$D$22*MAX(0,Calc_Base!R49*(1+C101)-(Calc_Base!$C$79/(1+Calc_Base!$C$77)*(1+C101))-Calc_Base!R52*(1+C101))-(Calc_Base!$C$79/(1+Calc_Base!$C$77)*(1+C101))-Calc_Base!R52*(1+C101)-Inputs!$D$42*Calc_Base!R37*C101)*(1+(WACC!$C$16+B101))^0.5/((WACC!$C$16+B101)-C101)/$P$73</f>
        <v>14670.88261279</v>
      </c>
      <c r="E101" s="42" t="n">
        <f aca="false">D101+Capital_Structure!$D$20-Capital_Structure!$B$26-Capital_Structure!$B$35</f>
        <v>14253.93361279</v>
      </c>
      <c r="F101" s="7" t="n">
        <f aca="false">IF((E101+SUMIF(Capital_Structure!$B$48:$B$57,"&lt;="&amp;Capital_Structure!$B$48,Capital_Structure!$D$48:$D$57))/(Capital_Structure!$B$9+SUMIF(Capital_Structure!$B$48:$B$57,"&lt;="&amp;Capital_Structure!$B$48,Capital_Structure!$C$48:$C$57))&gt;Capital_Structure!$B$48,1,0)</f>
        <v>1</v>
      </c>
      <c r="G101" s="7" t="n">
        <f aca="false">IF((E101+SUMIF(Capital_Structure!$B$48:$B$57,"&lt;="&amp;Capital_Structure!$B$49,Capital_Structure!$D$48:$D$57))/(Capital_Structure!$B$9+SUMIF(Capital_Structure!$B$48:$B$57,"&lt;="&amp;Capital_Structure!$B$49,Capital_Structure!$C$48:$C$57))&gt;Capital_Structure!$B$49,1,0)</f>
        <v>0</v>
      </c>
      <c r="H101" s="7" t="n">
        <f aca="false">IF((E101+SUMIF(Capital_Structure!$B$48:$B$57,"&lt;="&amp;Capital_Structure!$B$50,Capital_Structure!$D$48:$D$57))/(Capital_Structure!$B$9+SUMIF(Capital_Structure!$B$48:$B$57,"&lt;="&amp;Capital_Structure!$B$50,Capital_Structure!$C$48:$C$57))&gt;Capital_Structure!$B$50,1,0)</f>
        <v>0</v>
      </c>
      <c r="I101" s="7" t="n">
        <f aca="false">IF((E101+SUMIF(Capital_Structure!$B$48:$B$57,"&lt;="&amp;Capital_Structure!$B$51,Capital_Structure!$D$48:$D$57))/(Capital_Structure!$B$9+SUMIF(Capital_Structure!$B$48:$B$57,"&lt;="&amp;Capital_Structure!$B$51,Capital_Structure!$C$48:$C$57))&gt;Capital_Structure!$B$51,1,0)</f>
        <v>0</v>
      </c>
      <c r="J101" s="7" t="n">
        <f aca="false">IF((E101+SUMIF(Capital_Structure!$B$48:$B$57,"&lt;="&amp;Capital_Structure!$B$52,Capital_Structure!$D$48:$D$57))/(Capital_Structure!$B$9+SUMIF(Capital_Structure!$B$48:$B$57,"&lt;="&amp;Capital_Structure!$B$52,Capital_Structure!$C$48:$C$57))&gt;Capital_Structure!$B$52,1,0)</f>
        <v>0</v>
      </c>
      <c r="K101" s="7" t="n">
        <f aca="false">IF((E101+SUMIF(Capital_Structure!$B$48:$B$57,"&lt;="&amp;Capital_Structure!$B$53,Capital_Structure!$D$48:$D$57))/(Capital_Structure!$B$9+SUMIF(Capital_Structure!$B$48:$B$57,"&lt;="&amp;Capital_Structure!$B$53,Capital_Structure!$C$48:$C$57))&gt;Capital_Structure!$B$53,1,0)</f>
        <v>1</v>
      </c>
      <c r="L101" s="7" t="n">
        <f aca="false">IF((E101+SUMIF(Capital_Structure!$B$48:$B$57,"&lt;="&amp;Capital_Structure!$B$54,Capital_Structure!$D$48:$D$57))/(Capital_Structure!$B$9+SUMIF(Capital_Structure!$B$48:$B$57,"&lt;="&amp;Capital_Structure!$B$54,Capital_Structure!$C$48:$C$57))&gt;Capital_Structure!$B$54,1,0)</f>
        <v>1</v>
      </c>
      <c r="M101" s="7" t="n">
        <f aca="false">IF((E101+SUMIF(Capital_Structure!$B$48:$B$57,"&lt;="&amp;Capital_Structure!$B$55,Capital_Structure!$D$48:$D$57))/(Capital_Structure!$B$9+SUMIF(Capital_Structure!$B$48:$B$57,"&lt;="&amp;Capital_Structure!$B$55,Capital_Structure!$C$48:$C$57))&gt;Capital_Structure!$B$55,1,0)</f>
        <v>1</v>
      </c>
      <c r="N101" s="7" t="n">
        <f aca="false">IF((E101+SUMIF(Capital_Structure!$B$48:$B$57,"&lt;="&amp;Capital_Structure!$B$56,Capital_Structure!$D$48:$D$57))/(Capital_Structure!$B$9+SUMIF(Capital_Structure!$B$48:$B$57,"&lt;="&amp;Capital_Structure!$B$56,Capital_Structure!$C$48:$C$57))&gt;Capital_Structure!$B$56,1,0)</f>
        <v>1</v>
      </c>
      <c r="O101" s="7" t="n">
        <f aca="false">IF((E101+SUMIF(Capital_Structure!$B$48:$B$57,"&lt;="&amp;Capital_Structure!$B$57,Capital_Structure!$D$48:$D$57))/(Capital_Structure!$B$9+SUMIF(Capital_Structure!$B$48:$B$57,"&lt;="&amp;Capital_Structure!$B$57,Capital_Structure!$C$48:$C$57))&gt;Capital_Structure!$B$57,1,0)</f>
        <v>1</v>
      </c>
      <c r="P101" s="42" t="n">
        <f aca="false">E101+F101*Capital_Structure!$D$48+G101*Capital_Structure!$D$49+H101*Capital_Structure!$D$50+I101*Capital_Structure!$D$51+J101*Capital_Structure!$D$52+K101*Capital_Structure!$D$53+L101*Capital_Structure!$D$54+M101*Capital_Structure!$D$55+N101*Capital_Structure!$D$56+O101*Capital_Structure!$D$57</f>
        <v>14282.20518776</v>
      </c>
      <c r="Q101" s="42" t="n">
        <f aca="false">Capital_Structure!$B$9+F101*Capital_Structure!$C$48+G101*Capital_Structure!$C$49+H101*Capital_Structure!$C$50+I101*Capital_Structure!$C$51+J101*Capital_Structure!$C$52+K101*Capital_Structure!$C$53+L101*Capital_Structure!$C$54+M101*Capital_Structure!$C$55+N101*Capital_Structure!$C$56+O101*Capital_Structure!$C$57</f>
        <v>404.338272369026</v>
      </c>
      <c r="R101" s="46" t="n">
        <f aca="false">MAX(0,P101/Q101)</f>
        <v>35.3224173019296</v>
      </c>
    </row>
    <row r="102" customFormat="false" ht="15" hidden="false" customHeight="false" outlineLevel="0" collapsed="false">
      <c r="A102" s="7" t="s">
        <v>744</v>
      </c>
      <c r="B102" s="48" t="n">
        <f aca="false">$A$10</f>
        <v>0.02</v>
      </c>
      <c r="C102" s="48" t="n">
        <f aca="false">C$5</f>
        <v>0.02</v>
      </c>
      <c r="D102" s="42" t="n">
        <f aca="false">SUMPRODUCT(Calc_Base!$D$68:$R$68,$B$74:$P$74)+(Calc_Base!R49*(1+C102)-Inputs!$D$22*MAX(0,Calc_Base!R49*(1+C102)-(Calc_Base!$C$79/(1+Calc_Base!$C$77)*(1+C102))-Calc_Base!R52*(1+C102))-(Calc_Base!$C$79/(1+Calc_Base!$C$77)*(1+C102))-Calc_Base!R52*(1+C102)-Inputs!$D$42*Calc_Base!R37*C102)*(1+(WACC!$C$16+B102))^0.5/((WACC!$C$16+B102)-C102)/$P$73</f>
        <v>15163.2304137947</v>
      </c>
      <c r="E102" s="42" t="n">
        <f aca="false">D102+Capital_Structure!$D$20-Capital_Structure!$B$26-Capital_Structure!$B$35</f>
        <v>14746.2814137947</v>
      </c>
      <c r="F102" s="7" t="n">
        <f aca="false">IF((E102+SUMIF(Capital_Structure!$B$48:$B$57,"&lt;="&amp;Capital_Structure!$B$48,Capital_Structure!$D$48:$D$57))/(Capital_Structure!$B$9+SUMIF(Capital_Structure!$B$48:$B$57,"&lt;="&amp;Capital_Structure!$B$48,Capital_Structure!$C$48:$C$57))&gt;Capital_Structure!$B$48,1,0)</f>
        <v>1</v>
      </c>
      <c r="G102" s="7" t="n">
        <f aca="false">IF((E102+SUMIF(Capital_Structure!$B$48:$B$57,"&lt;="&amp;Capital_Structure!$B$49,Capital_Structure!$D$48:$D$57))/(Capital_Structure!$B$9+SUMIF(Capital_Structure!$B$48:$B$57,"&lt;="&amp;Capital_Structure!$B$49,Capital_Structure!$C$48:$C$57))&gt;Capital_Structure!$B$49,1,0)</f>
        <v>0</v>
      </c>
      <c r="H102" s="7" t="n">
        <f aca="false">IF((E102+SUMIF(Capital_Structure!$B$48:$B$57,"&lt;="&amp;Capital_Structure!$B$50,Capital_Structure!$D$48:$D$57))/(Capital_Structure!$B$9+SUMIF(Capital_Structure!$B$48:$B$57,"&lt;="&amp;Capital_Structure!$B$50,Capital_Structure!$C$48:$C$57))&gt;Capital_Structure!$B$50,1,0)</f>
        <v>0</v>
      </c>
      <c r="I102" s="7" t="n">
        <f aca="false">IF((E102+SUMIF(Capital_Structure!$B$48:$B$57,"&lt;="&amp;Capital_Structure!$B$51,Capital_Structure!$D$48:$D$57))/(Capital_Structure!$B$9+SUMIF(Capital_Structure!$B$48:$B$57,"&lt;="&amp;Capital_Structure!$B$51,Capital_Structure!$C$48:$C$57))&gt;Capital_Structure!$B$51,1,0)</f>
        <v>0</v>
      </c>
      <c r="J102" s="7" t="n">
        <f aca="false">IF((E102+SUMIF(Capital_Structure!$B$48:$B$57,"&lt;="&amp;Capital_Structure!$B$52,Capital_Structure!$D$48:$D$57))/(Capital_Structure!$B$9+SUMIF(Capital_Structure!$B$48:$B$57,"&lt;="&amp;Capital_Structure!$B$52,Capital_Structure!$C$48:$C$57))&gt;Capital_Structure!$B$52,1,0)</f>
        <v>0</v>
      </c>
      <c r="K102" s="7" t="n">
        <f aca="false">IF((E102+SUMIF(Capital_Structure!$B$48:$B$57,"&lt;="&amp;Capital_Structure!$B$53,Capital_Structure!$D$48:$D$57))/(Capital_Structure!$B$9+SUMIF(Capital_Structure!$B$48:$B$57,"&lt;="&amp;Capital_Structure!$B$53,Capital_Structure!$C$48:$C$57))&gt;Capital_Structure!$B$53,1,0)</f>
        <v>1</v>
      </c>
      <c r="L102" s="7" t="n">
        <f aca="false">IF((E102+SUMIF(Capital_Structure!$B$48:$B$57,"&lt;="&amp;Capital_Structure!$B$54,Capital_Structure!$D$48:$D$57))/(Capital_Structure!$B$9+SUMIF(Capital_Structure!$B$48:$B$57,"&lt;="&amp;Capital_Structure!$B$54,Capital_Structure!$C$48:$C$57))&gt;Capital_Structure!$B$54,1,0)</f>
        <v>1</v>
      </c>
      <c r="M102" s="7" t="n">
        <f aca="false">IF((E102+SUMIF(Capital_Structure!$B$48:$B$57,"&lt;="&amp;Capital_Structure!$B$55,Capital_Structure!$D$48:$D$57))/(Capital_Structure!$B$9+SUMIF(Capital_Structure!$B$48:$B$57,"&lt;="&amp;Capital_Structure!$B$55,Capital_Structure!$C$48:$C$57))&gt;Capital_Structure!$B$55,1,0)</f>
        <v>1</v>
      </c>
      <c r="N102" s="7" t="n">
        <f aca="false">IF((E102+SUMIF(Capital_Structure!$B$48:$B$57,"&lt;="&amp;Capital_Structure!$B$56,Capital_Structure!$D$48:$D$57))/(Capital_Structure!$B$9+SUMIF(Capital_Structure!$B$48:$B$57,"&lt;="&amp;Capital_Structure!$B$56,Capital_Structure!$C$48:$C$57))&gt;Capital_Structure!$B$56,1,0)</f>
        <v>1</v>
      </c>
      <c r="O102" s="7" t="n">
        <f aca="false">IF((E102+SUMIF(Capital_Structure!$B$48:$B$57,"&lt;="&amp;Capital_Structure!$B$57,Capital_Structure!$D$48:$D$57))/(Capital_Structure!$B$9+SUMIF(Capital_Structure!$B$48:$B$57,"&lt;="&amp;Capital_Structure!$B$57,Capital_Structure!$C$48:$C$57))&gt;Capital_Structure!$B$57,1,0)</f>
        <v>1</v>
      </c>
      <c r="P102" s="42" t="n">
        <f aca="false">E102+F102*Capital_Structure!$D$48+G102*Capital_Structure!$D$49+H102*Capital_Structure!$D$50+I102*Capital_Structure!$D$51+J102*Capital_Structure!$D$52+K102*Capital_Structure!$D$53+L102*Capital_Structure!$D$54+M102*Capital_Structure!$D$55+N102*Capital_Structure!$D$56+O102*Capital_Structure!$D$57</f>
        <v>14774.5529887647</v>
      </c>
      <c r="Q102" s="42" t="n">
        <f aca="false">Capital_Structure!$B$9+F102*Capital_Structure!$C$48+G102*Capital_Structure!$C$49+H102*Capital_Structure!$C$50+I102*Capital_Structure!$C$51+J102*Capital_Structure!$C$52+K102*Capital_Structure!$C$53+L102*Capital_Structure!$C$54+M102*Capital_Structure!$C$55+N102*Capital_Structure!$C$56+O102*Capital_Structure!$C$57</f>
        <v>404.338272369026</v>
      </c>
      <c r="R102" s="46" t="n">
        <f aca="false">MAX(0,P102/Q102)</f>
        <v>36.5400804188046</v>
      </c>
    </row>
    <row r="103" customFormat="false" ht="15" hidden="false" customHeight="false" outlineLevel="0" collapsed="false">
      <c r="A103" s="7" t="s">
        <v>745</v>
      </c>
      <c r="B103" s="48" t="n">
        <f aca="false">$A$10</f>
        <v>0.02</v>
      </c>
      <c r="C103" s="48" t="n">
        <f aca="false">D$5</f>
        <v>0.025</v>
      </c>
      <c r="D103" s="42" t="n">
        <f aca="false">SUMPRODUCT(Calc_Base!$D$68:$R$68,$B$74:$P$74)+(Calc_Base!R49*(1+C103)-Inputs!$D$22*MAX(0,Calc_Base!R49*(1+C103)-(Calc_Base!$C$79/(1+Calc_Base!$C$77)*(1+C103))-Calc_Base!R52*(1+C103))-(Calc_Base!$C$79/(1+Calc_Base!$C$77)*(1+C103))-Calc_Base!R52*(1+C103)-Inputs!$D$42*Calc_Base!R37*C103)*(1+(WACC!$C$16+B103))^0.5/((WACC!$C$16+B103)-C103)/$P$73</f>
        <v>15719.0455433208</v>
      </c>
      <c r="E103" s="42" t="n">
        <f aca="false">D103+Capital_Structure!$D$20-Capital_Structure!$B$26-Capital_Structure!$B$35</f>
        <v>15302.0965433208</v>
      </c>
      <c r="F103" s="7" t="n">
        <f aca="false">IF((E103+SUMIF(Capital_Structure!$B$48:$B$57,"&lt;="&amp;Capital_Structure!$B$48,Capital_Structure!$D$48:$D$57))/(Capital_Structure!$B$9+SUMIF(Capital_Structure!$B$48:$B$57,"&lt;="&amp;Capital_Structure!$B$48,Capital_Structure!$C$48:$C$57))&gt;Capital_Structure!$B$48,1,0)</f>
        <v>1</v>
      </c>
      <c r="G103" s="7" t="n">
        <f aca="false">IF((E103+SUMIF(Capital_Structure!$B$48:$B$57,"&lt;="&amp;Capital_Structure!$B$49,Capital_Structure!$D$48:$D$57))/(Capital_Structure!$B$9+SUMIF(Capital_Structure!$B$48:$B$57,"&lt;="&amp;Capital_Structure!$B$49,Capital_Structure!$C$48:$C$57))&gt;Capital_Structure!$B$49,1,0)</f>
        <v>0</v>
      </c>
      <c r="H103" s="7" t="n">
        <f aca="false">IF((E103+SUMIF(Capital_Structure!$B$48:$B$57,"&lt;="&amp;Capital_Structure!$B$50,Capital_Structure!$D$48:$D$57))/(Capital_Structure!$B$9+SUMIF(Capital_Structure!$B$48:$B$57,"&lt;="&amp;Capital_Structure!$B$50,Capital_Structure!$C$48:$C$57))&gt;Capital_Structure!$B$50,1,0)</f>
        <v>0</v>
      </c>
      <c r="I103" s="7" t="n">
        <f aca="false">IF((E103+SUMIF(Capital_Structure!$B$48:$B$57,"&lt;="&amp;Capital_Structure!$B$51,Capital_Structure!$D$48:$D$57))/(Capital_Structure!$B$9+SUMIF(Capital_Structure!$B$48:$B$57,"&lt;="&amp;Capital_Structure!$B$51,Capital_Structure!$C$48:$C$57))&gt;Capital_Structure!$B$51,1,0)</f>
        <v>0</v>
      </c>
      <c r="J103" s="7" t="n">
        <f aca="false">IF((E103+SUMIF(Capital_Structure!$B$48:$B$57,"&lt;="&amp;Capital_Structure!$B$52,Capital_Structure!$D$48:$D$57))/(Capital_Structure!$B$9+SUMIF(Capital_Structure!$B$48:$B$57,"&lt;="&amp;Capital_Structure!$B$52,Capital_Structure!$C$48:$C$57))&gt;Capital_Structure!$B$52,1,0)</f>
        <v>0</v>
      </c>
      <c r="K103" s="7" t="n">
        <f aca="false">IF((E103+SUMIF(Capital_Structure!$B$48:$B$57,"&lt;="&amp;Capital_Structure!$B$53,Capital_Structure!$D$48:$D$57))/(Capital_Structure!$B$9+SUMIF(Capital_Structure!$B$48:$B$57,"&lt;="&amp;Capital_Structure!$B$53,Capital_Structure!$C$48:$C$57))&gt;Capital_Structure!$B$53,1,0)</f>
        <v>1</v>
      </c>
      <c r="L103" s="7" t="n">
        <f aca="false">IF((E103+SUMIF(Capital_Structure!$B$48:$B$57,"&lt;="&amp;Capital_Structure!$B$54,Capital_Structure!$D$48:$D$57))/(Capital_Structure!$B$9+SUMIF(Capital_Structure!$B$48:$B$57,"&lt;="&amp;Capital_Structure!$B$54,Capital_Structure!$C$48:$C$57))&gt;Capital_Structure!$B$54,1,0)</f>
        <v>1</v>
      </c>
      <c r="M103" s="7" t="n">
        <f aca="false">IF((E103+SUMIF(Capital_Structure!$B$48:$B$57,"&lt;="&amp;Capital_Structure!$B$55,Capital_Structure!$D$48:$D$57))/(Capital_Structure!$B$9+SUMIF(Capital_Structure!$B$48:$B$57,"&lt;="&amp;Capital_Structure!$B$55,Capital_Structure!$C$48:$C$57))&gt;Capital_Structure!$B$55,1,0)</f>
        <v>1</v>
      </c>
      <c r="N103" s="7" t="n">
        <f aca="false">IF((E103+SUMIF(Capital_Structure!$B$48:$B$57,"&lt;="&amp;Capital_Structure!$B$56,Capital_Structure!$D$48:$D$57))/(Capital_Structure!$B$9+SUMIF(Capital_Structure!$B$48:$B$57,"&lt;="&amp;Capital_Structure!$B$56,Capital_Structure!$C$48:$C$57))&gt;Capital_Structure!$B$56,1,0)</f>
        <v>1</v>
      </c>
      <c r="O103" s="7" t="n">
        <f aca="false">IF((E103+SUMIF(Capital_Structure!$B$48:$B$57,"&lt;="&amp;Capital_Structure!$B$57,Capital_Structure!$D$48:$D$57))/(Capital_Structure!$B$9+SUMIF(Capital_Structure!$B$48:$B$57,"&lt;="&amp;Capital_Structure!$B$57,Capital_Structure!$C$48:$C$57))&gt;Capital_Structure!$B$57,1,0)</f>
        <v>1</v>
      </c>
      <c r="P103" s="42" t="n">
        <f aca="false">E103+F103*Capital_Structure!$D$48+G103*Capital_Structure!$D$49+H103*Capital_Structure!$D$50+I103*Capital_Structure!$D$51+J103*Capital_Structure!$D$52+K103*Capital_Structure!$D$53+L103*Capital_Structure!$D$54+M103*Capital_Structure!$D$55+N103*Capital_Structure!$D$56+O103*Capital_Structure!$D$57</f>
        <v>15330.3681182908</v>
      </c>
      <c r="Q103" s="42" t="n">
        <f aca="false">Capital_Structure!$B$9+F103*Capital_Structure!$C$48+G103*Capital_Structure!$C$49+H103*Capital_Structure!$C$50+I103*Capital_Structure!$C$51+J103*Capital_Structure!$C$52+K103*Capital_Structure!$C$53+L103*Capital_Structure!$C$54+M103*Capital_Structure!$C$55+N103*Capital_Structure!$C$56+O103*Capital_Structure!$C$57</f>
        <v>404.338272369026</v>
      </c>
      <c r="R103" s="46" t="n">
        <f aca="false">MAX(0,P103/Q103)</f>
        <v>37.9147094547095</v>
      </c>
    </row>
    <row r="104" customFormat="false" ht="15" hidden="false" customHeight="false" outlineLevel="0" collapsed="false">
      <c r="A104" s="7" t="s">
        <v>746</v>
      </c>
      <c r="B104" s="48" t="n">
        <f aca="false">$A$10</f>
        <v>0.02</v>
      </c>
      <c r="C104" s="48" t="n">
        <f aca="false">E$5</f>
        <v>0.03</v>
      </c>
      <c r="D104" s="42" t="n">
        <f aca="false">SUMPRODUCT(Calc_Base!$D$68:$R$68,$B$74:$P$74)+(Calc_Base!R49*(1+C104)-Inputs!$D$22*MAX(0,Calc_Base!R49*(1+C104)-(Calc_Base!$C$79/(1+Calc_Base!$C$77)*(1+C104))-Calc_Base!R52*(1+C104))-(Calc_Base!$C$79/(1+Calc_Base!$C$77)*(1+C104))-Calc_Base!R52*(1+C104)-Inputs!$D$42*Calc_Base!R37*C104)*(1+(WACC!$C$16+B104))^0.5/((WACC!$C$16+B104)-C104)/$P$73</f>
        <v>16351.445602854</v>
      </c>
      <c r="E104" s="42" t="n">
        <f aca="false">D104+Capital_Structure!$D$20-Capital_Structure!$B$26-Capital_Structure!$B$35</f>
        <v>15934.496602854</v>
      </c>
      <c r="F104" s="7" t="n">
        <f aca="false">IF((E104+SUMIF(Capital_Structure!$B$48:$B$57,"&lt;="&amp;Capital_Structure!$B$48,Capital_Structure!$D$48:$D$57))/(Capital_Structure!$B$9+SUMIF(Capital_Structure!$B$48:$B$57,"&lt;="&amp;Capital_Structure!$B$48,Capital_Structure!$C$48:$C$57))&gt;Capital_Structure!$B$48,1,0)</f>
        <v>1</v>
      </c>
      <c r="G104" s="7" t="n">
        <f aca="false">IF((E104+SUMIF(Capital_Structure!$B$48:$B$57,"&lt;="&amp;Capital_Structure!$B$49,Capital_Structure!$D$48:$D$57))/(Capital_Structure!$B$9+SUMIF(Capital_Structure!$B$48:$B$57,"&lt;="&amp;Capital_Structure!$B$49,Capital_Structure!$C$48:$C$57))&gt;Capital_Structure!$B$49,1,0)</f>
        <v>0</v>
      </c>
      <c r="H104" s="7" t="n">
        <f aca="false">IF((E104+SUMIF(Capital_Structure!$B$48:$B$57,"&lt;="&amp;Capital_Structure!$B$50,Capital_Structure!$D$48:$D$57))/(Capital_Structure!$B$9+SUMIF(Capital_Structure!$B$48:$B$57,"&lt;="&amp;Capital_Structure!$B$50,Capital_Structure!$C$48:$C$57))&gt;Capital_Structure!$B$50,1,0)</f>
        <v>0</v>
      </c>
      <c r="I104" s="7" t="n">
        <f aca="false">IF((E104+SUMIF(Capital_Structure!$B$48:$B$57,"&lt;="&amp;Capital_Structure!$B$51,Capital_Structure!$D$48:$D$57))/(Capital_Structure!$B$9+SUMIF(Capital_Structure!$B$48:$B$57,"&lt;="&amp;Capital_Structure!$B$51,Capital_Structure!$C$48:$C$57))&gt;Capital_Structure!$B$51,1,0)</f>
        <v>0</v>
      </c>
      <c r="J104" s="7" t="n">
        <f aca="false">IF((E104+SUMIF(Capital_Structure!$B$48:$B$57,"&lt;="&amp;Capital_Structure!$B$52,Capital_Structure!$D$48:$D$57))/(Capital_Structure!$B$9+SUMIF(Capital_Structure!$B$48:$B$57,"&lt;="&amp;Capital_Structure!$B$52,Capital_Structure!$C$48:$C$57))&gt;Capital_Structure!$B$52,1,0)</f>
        <v>0</v>
      </c>
      <c r="K104" s="7" t="n">
        <f aca="false">IF((E104+SUMIF(Capital_Structure!$B$48:$B$57,"&lt;="&amp;Capital_Structure!$B$53,Capital_Structure!$D$48:$D$57))/(Capital_Structure!$B$9+SUMIF(Capital_Structure!$B$48:$B$57,"&lt;="&amp;Capital_Structure!$B$53,Capital_Structure!$C$48:$C$57))&gt;Capital_Structure!$B$53,1,0)</f>
        <v>1</v>
      </c>
      <c r="L104" s="7" t="n">
        <f aca="false">IF((E104+SUMIF(Capital_Structure!$B$48:$B$57,"&lt;="&amp;Capital_Structure!$B$54,Capital_Structure!$D$48:$D$57))/(Capital_Structure!$B$9+SUMIF(Capital_Structure!$B$48:$B$57,"&lt;="&amp;Capital_Structure!$B$54,Capital_Structure!$C$48:$C$57))&gt;Capital_Structure!$B$54,1,0)</f>
        <v>1</v>
      </c>
      <c r="M104" s="7" t="n">
        <f aca="false">IF((E104+SUMIF(Capital_Structure!$B$48:$B$57,"&lt;="&amp;Capital_Structure!$B$55,Capital_Structure!$D$48:$D$57))/(Capital_Structure!$B$9+SUMIF(Capital_Structure!$B$48:$B$57,"&lt;="&amp;Capital_Structure!$B$55,Capital_Structure!$C$48:$C$57))&gt;Capital_Structure!$B$55,1,0)</f>
        <v>1</v>
      </c>
      <c r="N104" s="7" t="n">
        <f aca="false">IF((E104+SUMIF(Capital_Structure!$B$48:$B$57,"&lt;="&amp;Capital_Structure!$B$56,Capital_Structure!$D$48:$D$57))/(Capital_Structure!$B$9+SUMIF(Capital_Structure!$B$48:$B$57,"&lt;="&amp;Capital_Structure!$B$56,Capital_Structure!$C$48:$C$57))&gt;Capital_Structure!$B$56,1,0)</f>
        <v>1</v>
      </c>
      <c r="O104" s="7" t="n">
        <f aca="false">IF((E104+SUMIF(Capital_Structure!$B$48:$B$57,"&lt;="&amp;Capital_Structure!$B$57,Capital_Structure!$D$48:$D$57))/(Capital_Structure!$B$9+SUMIF(Capital_Structure!$B$48:$B$57,"&lt;="&amp;Capital_Structure!$B$57,Capital_Structure!$C$48:$C$57))&gt;Capital_Structure!$B$57,1,0)</f>
        <v>1</v>
      </c>
      <c r="P104" s="42" t="n">
        <f aca="false">E104+F104*Capital_Structure!$D$48+G104*Capital_Structure!$D$49+H104*Capital_Structure!$D$50+I104*Capital_Structure!$D$51+J104*Capital_Structure!$D$52+K104*Capital_Structure!$D$53+L104*Capital_Structure!$D$54+M104*Capital_Structure!$D$55+N104*Capital_Structure!$D$56+O104*Capital_Structure!$D$57</f>
        <v>15962.768177824</v>
      </c>
      <c r="Q104" s="42" t="n">
        <f aca="false">Capital_Structure!$B$9+F104*Capital_Structure!$C$48+G104*Capital_Structure!$C$49+H104*Capital_Structure!$C$50+I104*Capital_Structure!$C$51+J104*Capital_Structure!$C$52+K104*Capital_Structure!$C$53+L104*Capital_Structure!$C$54+M104*Capital_Structure!$C$55+N104*Capital_Structure!$C$56+O104*Capital_Structure!$C$57</f>
        <v>404.338272369026</v>
      </c>
      <c r="R104" s="46" t="n">
        <f aca="false">MAX(0,P104/Q104)</f>
        <v>39.4787465561887</v>
      </c>
    </row>
    <row r="105" customFormat="false" ht="15" hidden="false" customHeight="false" outlineLevel="0" collapsed="false">
      <c r="A105" s="7" t="s">
        <v>747</v>
      </c>
      <c r="B105" s="48" t="n">
        <f aca="false">$A$10</f>
        <v>0.02</v>
      </c>
      <c r="C105" s="48" t="n">
        <f aca="false">F$5</f>
        <v>0.035</v>
      </c>
      <c r="D105" s="42" t="n">
        <f aca="false">SUMPRODUCT(Calc_Base!$D$68:$R$68,$B$74:$P$74)+(Calc_Base!R49*(1+C105)-Inputs!$D$22*MAX(0,Calc_Base!R49*(1+C105)-(Calc_Base!$C$79/(1+Calc_Base!$C$77)*(1+C105))-Calc_Base!R52*(1+C105))-(Calc_Base!$C$79/(1+Calc_Base!$C$77)*(1+C105))-Calc_Base!R52*(1+C105)-Inputs!$D$42*Calc_Base!R37*C105)*(1+(WACC!$C$16+B105))^0.5/((WACC!$C$16+B105)-C105)/$P$73</f>
        <v>17077.4305768574</v>
      </c>
      <c r="E105" s="42" t="n">
        <f aca="false">D105+Capital_Structure!$D$20-Capital_Structure!$B$26-Capital_Structure!$B$35</f>
        <v>16660.4815768574</v>
      </c>
      <c r="F105" s="7" t="n">
        <f aca="false">IF((E105+SUMIF(Capital_Structure!$B$48:$B$57,"&lt;="&amp;Capital_Structure!$B$48,Capital_Structure!$D$48:$D$57))/(Capital_Structure!$B$9+SUMIF(Capital_Structure!$B$48:$B$57,"&lt;="&amp;Capital_Structure!$B$48,Capital_Structure!$C$48:$C$57))&gt;Capital_Structure!$B$48,1,0)</f>
        <v>1</v>
      </c>
      <c r="G105" s="7" t="n">
        <f aca="false">IF((E105+SUMIF(Capital_Structure!$B$48:$B$57,"&lt;="&amp;Capital_Structure!$B$49,Capital_Structure!$D$48:$D$57))/(Capital_Structure!$B$9+SUMIF(Capital_Structure!$B$48:$B$57,"&lt;="&amp;Capital_Structure!$B$49,Capital_Structure!$C$48:$C$57))&gt;Capital_Structure!$B$49,1,0)</f>
        <v>0</v>
      </c>
      <c r="H105" s="7" t="n">
        <f aca="false">IF((E105+SUMIF(Capital_Structure!$B$48:$B$57,"&lt;="&amp;Capital_Structure!$B$50,Capital_Structure!$D$48:$D$57))/(Capital_Structure!$B$9+SUMIF(Capital_Structure!$B$48:$B$57,"&lt;="&amp;Capital_Structure!$B$50,Capital_Structure!$C$48:$C$57))&gt;Capital_Structure!$B$50,1,0)</f>
        <v>0</v>
      </c>
      <c r="I105" s="7" t="n">
        <f aca="false">IF((E105+SUMIF(Capital_Structure!$B$48:$B$57,"&lt;="&amp;Capital_Structure!$B$51,Capital_Structure!$D$48:$D$57))/(Capital_Structure!$B$9+SUMIF(Capital_Structure!$B$48:$B$57,"&lt;="&amp;Capital_Structure!$B$51,Capital_Structure!$C$48:$C$57))&gt;Capital_Structure!$B$51,1,0)</f>
        <v>0</v>
      </c>
      <c r="J105" s="7" t="n">
        <f aca="false">IF((E105+SUMIF(Capital_Structure!$B$48:$B$57,"&lt;="&amp;Capital_Structure!$B$52,Capital_Structure!$D$48:$D$57))/(Capital_Structure!$B$9+SUMIF(Capital_Structure!$B$48:$B$57,"&lt;="&amp;Capital_Structure!$B$52,Capital_Structure!$C$48:$C$57))&gt;Capital_Structure!$B$52,1,0)</f>
        <v>0</v>
      </c>
      <c r="K105" s="7" t="n">
        <f aca="false">IF((E105+SUMIF(Capital_Structure!$B$48:$B$57,"&lt;="&amp;Capital_Structure!$B$53,Capital_Structure!$D$48:$D$57))/(Capital_Structure!$B$9+SUMIF(Capital_Structure!$B$48:$B$57,"&lt;="&amp;Capital_Structure!$B$53,Capital_Structure!$C$48:$C$57))&gt;Capital_Structure!$B$53,1,0)</f>
        <v>1</v>
      </c>
      <c r="L105" s="7" t="n">
        <f aca="false">IF((E105+SUMIF(Capital_Structure!$B$48:$B$57,"&lt;="&amp;Capital_Structure!$B$54,Capital_Structure!$D$48:$D$57))/(Capital_Structure!$B$9+SUMIF(Capital_Structure!$B$48:$B$57,"&lt;="&amp;Capital_Structure!$B$54,Capital_Structure!$C$48:$C$57))&gt;Capital_Structure!$B$54,1,0)</f>
        <v>1</v>
      </c>
      <c r="M105" s="7" t="n">
        <f aca="false">IF((E105+SUMIF(Capital_Structure!$B$48:$B$57,"&lt;="&amp;Capital_Structure!$B$55,Capital_Structure!$D$48:$D$57))/(Capital_Structure!$B$9+SUMIF(Capital_Structure!$B$48:$B$57,"&lt;="&amp;Capital_Structure!$B$55,Capital_Structure!$C$48:$C$57))&gt;Capital_Structure!$B$55,1,0)</f>
        <v>1</v>
      </c>
      <c r="N105" s="7" t="n">
        <f aca="false">IF((E105+SUMIF(Capital_Structure!$B$48:$B$57,"&lt;="&amp;Capital_Structure!$B$56,Capital_Structure!$D$48:$D$57))/(Capital_Structure!$B$9+SUMIF(Capital_Structure!$B$48:$B$57,"&lt;="&amp;Capital_Structure!$B$56,Capital_Structure!$C$48:$C$57))&gt;Capital_Structure!$B$56,1,0)</f>
        <v>1</v>
      </c>
      <c r="O105" s="7" t="n">
        <f aca="false">IF((E105+SUMIF(Capital_Structure!$B$48:$B$57,"&lt;="&amp;Capital_Structure!$B$57,Capital_Structure!$D$48:$D$57))/(Capital_Structure!$B$9+SUMIF(Capital_Structure!$B$48:$B$57,"&lt;="&amp;Capital_Structure!$B$57,Capital_Structure!$C$48:$C$57))&gt;Capital_Structure!$B$57,1,0)</f>
        <v>1</v>
      </c>
      <c r="P105" s="42" t="n">
        <f aca="false">E105+F105*Capital_Structure!$D$48+G105*Capital_Structure!$D$49+H105*Capital_Structure!$D$50+I105*Capital_Structure!$D$51+J105*Capital_Structure!$D$52+K105*Capital_Structure!$D$53+L105*Capital_Structure!$D$54+M105*Capital_Structure!$D$55+N105*Capital_Structure!$D$56+O105*Capital_Structure!$D$57</f>
        <v>16688.7531518274</v>
      </c>
      <c r="Q105" s="42" t="n">
        <f aca="false">Capital_Structure!$B$9+F105*Capital_Structure!$C$48+G105*Capital_Structure!$C$49+H105*Capital_Structure!$C$50+I105*Capital_Structure!$C$51+J105*Capital_Structure!$C$52+K105*Capital_Structure!$C$53+L105*Capital_Structure!$C$54+M105*Capital_Structure!$C$55+N105*Capital_Structure!$C$56+O105*Capital_Structure!$C$57</f>
        <v>404.338272369026</v>
      </c>
      <c r="R105" s="46" t="n">
        <f aca="false">MAX(0,P105/Q105)</f>
        <v>41.2742356889634</v>
      </c>
    </row>
  </sheetData>
  <conditionalFormatting sqref="B37:H4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48:F5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4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748</v>
      </c>
    </row>
    <row r="2" customFormat="false" ht="15" hidden="false" customHeight="false" outlineLevel="0" collapsed="false">
      <c r="A2" s="2" t="s">
        <v>685</v>
      </c>
    </row>
    <row r="4" customFormat="false" ht="15" hidden="false" customHeight="false" outlineLevel="0" collapsed="false">
      <c r="A4" s="5" t="s">
        <v>749</v>
      </c>
      <c r="B4" s="6"/>
      <c r="C4" s="6"/>
      <c r="D4" s="6"/>
    </row>
    <row r="5" customFormat="false" ht="15" hidden="false" customHeight="false" outlineLevel="0" collapsed="false">
      <c r="A5" s="7" t="s">
        <v>750</v>
      </c>
      <c r="B5" s="66" t="s">
        <v>751</v>
      </c>
    </row>
    <row r="6" customFormat="false" ht="15" hidden="false" customHeight="false" outlineLevel="0" collapsed="false">
      <c r="A6" s="7" t="s">
        <v>752</v>
      </c>
      <c r="B6" s="66" t="s">
        <v>753</v>
      </c>
    </row>
    <row r="7" customFormat="false" ht="15" hidden="false" customHeight="false" outlineLevel="0" collapsed="false">
      <c r="A7" s="7" t="s">
        <v>754</v>
      </c>
      <c r="B7" s="66" t="n">
        <v>20260910</v>
      </c>
    </row>
    <row r="8" customFormat="false" ht="15" hidden="false" customHeight="false" outlineLevel="0" collapsed="false">
      <c r="A8" s="7" t="s">
        <v>755</v>
      </c>
      <c r="B8" s="66" t="s">
        <v>756</v>
      </c>
    </row>
    <row r="9" customFormat="false" ht="15" hidden="false" customHeight="false" outlineLevel="0" collapsed="false">
      <c r="A9" s="7" t="s">
        <v>757</v>
      </c>
      <c r="B9" s="67" t="n">
        <v>0.15</v>
      </c>
    </row>
    <row r="10" customFormat="false" ht="15" hidden="false" customHeight="false" outlineLevel="0" collapsed="false">
      <c r="A10" s="7" t="s">
        <v>758</v>
      </c>
      <c r="B10" s="66" t="s">
        <v>759</v>
      </c>
    </row>
    <row r="12" customFormat="false" ht="15" hidden="false" customHeight="false" outlineLevel="0" collapsed="false">
      <c r="A12" s="18" t="s">
        <v>686</v>
      </c>
      <c r="B12" s="18" t="s">
        <v>760</v>
      </c>
    </row>
    <row r="13" customFormat="false" ht="15" hidden="false" customHeight="false" outlineLevel="0" collapsed="false">
      <c r="A13" s="7" t="s">
        <v>242</v>
      </c>
      <c r="B13" s="7" t="s">
        <v>761</v>
      </c>
    </row>
    <row r="14" customFormat="false" ht="15" hidden="false" customHeight="false" outlineLevel="0" collapsed="false">
      <c r="A14" s="7" t="s">
        <v>245</v>
      </c>
      <c r="B14" s="7" t="s">
        <v>762</v>
      </c>
    </row>
    <row r="15" customFormat="false" ht="15" hidden="false" customHeight="false" outlineLevel="0" collapsed="false">
      <c r="A15" s="7" t="s">
        <v>250</v>
      </c>
      <c r="B15" s="7" t="s">
        <v>763</v>
      </c>
    </row>
    <row r="16" customFormat="false" ht="15" hidden="false" customHeight="false" outlineLevel="0" collapsed="false">
      <c r="A16" s="7" t="s">
        <v>254</v>
      </c>
      <c r="B16" s="7" t="s">
        <v>764</v>
      </c>
    </row>
    <row r="17" customFormat="false" ht="15" hidden="false" customHeight="false" outlineLevel="0" collapsed="false">
      <c r="A17" s="7" t="s">
        <v>228</v>
      </c>
      <c r="B17" s="7" t="s">
        <v>765</v>
      </c>
    </row>
    <row r="18" customFormat="false" ht="15" hidden="false" customHeight="false" outlineLevel="0" collapsed="false">
      <c r="A18" s="7" t="s">
        <v>692</v>
      </c>
      <c r="B18" s="7" t="s">
        <v>766</v>
      </c>
    </row>
    <row r="19" customFormat="false" ht="15" hidden="false" customHeight="false" outlineLevel="0" collapsed="false">
      <c r="A19" s="7" t="s">
        <v>233</v>
      </c>
      <c r="B19" s="7" t="s">
        <v>767</v>
      </c>
    </row>
    <row r="20" customFormat="false" ht="15" hidden="false" customHeight="false" outlineLevel="0" collapsed="false">
      <c r="A20" s="7" t="s">
        <v>693</v>
      </c>
      <c r="B20" s="7" t="s">
        <v>768</v>
      </c>
    </row>
    <row r="21" customFormat="false" ht="15" hidden="false" customHeight="false" outlineLevel="0" collapsed="false">
      <c r="A21" s="7" t="s">
        <v>260</v>
      </c>
      <c r="B21" s="7" t="s">
        <v>769</v>
      </c>
    </row>
    <row r="22" customFormat="false" ht="15" hidden="false" customHeight="false" outlineLevel="0" collapsed="false">
      <c r="A22" s="7" t="s">
        <v>694</v>
      </c>
      <c r="B22" s="7" t="s">
        <v>770</v>
      </c>
    </row>
    <row r="23" customFormat="false" ht="15" hidden="false" customHeight="false" outlineLevel="0" collapsed="false">
      <c r="A23" s="7" t="s">
        <v>104</v>
      </c>
      <c r="B23" s="7" t="s">
        <v>771</v>
      </c>
    </row>
    <row r="24" customFormat="false" ht="15" hidden="false" customHeight="false" outlineLevel="0" collapsed="false">
      <c r="A24" s="7" t="s">
        <v>107</v>
      </c>
      <c r="B24" s="7" t="s">
        <v>772</v>
      </c>
    </row>
    <row r="25" customFormat="false" ht="15" hidden="false" customHeight="false" outlineLevel="0" collapsed="false">
      <c r="A25" s="7" t="s">
        <v>257</v>
      </c>
      <c r="B25" s="7" t="s">
        <v>773</v>
      </c>
    </row>
    <row r="26" customFormat="false" ht="15" hidden="false" customHeight="false" outlineLevel="0" collapsed="false">
      <c r="A26" s="7" t="s">
        <v>125</v>
      </c>
      <c r="B26" s="7" t="s">
        <v>774</v>
      </c>
    </row>
    <row r="28" customFormat="false" ht="15" hidden="false" customHeight="false" outlineLevel="0" collapsed="false">
      <c r="A28" s="18" t="s">
        <v>775</v>
      </c>
      <c r="B28" s="18" t="s">
        <v>776</v>
      </c>
      <c r="D28" s="18" t="s">
        <v>777</v>
      </c>
    </row>
    <row r="29" customFormat="false" ht="15" hidden="false" customHeight="false" outlineLevel="0" collapsed="false">
      <c r="A29" s="7" t="s">
        <v>778</v>
      </c>
      <c r="B29" s="68" t="n">
        <v>0.6</v>
      </c>
      <c r="D29" s="17" t="s">
        <v>779</v>
      </c>
    </row>
    <row r="30" customFormat="false" ht="15" hidden="false" customHeight="false" outlineLevel="0" collapsed="false">
      <c r="A30" s="7" t="s">
        <v>780</v>
      </c>
      <c r="B30" s="68" t="n">
        <v>-0.3</v>
      </c>
      <c r="D30" s="17" t="s">
        <v>781</v>
      </c>
    </row>
    <row r="31" customFormat="false" ht="15" hidden="false" customHeight="false" outlineLevel="0" collapsed="false">
      <c r="A31" s="7" t="s">
        <v>782</v>
      </c>
      <c r="B31" s="68" t="n">
        <v>-0.3</v>
      </c>
      <c r="D31" s="17" t="s">
        <v>783</v>
      </c>
    </row>
    <row r="32" customFormat="false" ht="15" hidden="false" customHeight="false" outlineLevel="0" collapsed="false">
      <c r="A32" s="7" t="s">
        <v>784</v>
      </c>
      <c r="B32" s="68" t="n">
        <v>0.4</v>
      </c>
      <c r="D32" s="17" t="s">
        <v>785</v>
      </c>
    </row>
    <row r="33" customFormat="false" ht="15" hidden="false" customHeight="false" outlineLevel="0" collapsed="false">
      <c r="A33" s="7" t="s">
        <v>786</v>
      </c>
      <c r="B33" s="68" t="n">
        <v>-0.2</v>
      </c>
      <c r="D33" s="17" t="s">
        <v>787</v>
      </c>
    </row>
    <row r="35" customFormat="false" ht="15" hidden="false" customHeight="false" outlineLevel="0" collapsed="false">
      <c r="A35" s="5" t="s">
        <v>788</v>
      </c>
      <c r="B35" s="6"/>
      <c r="C35" s="6"/>
      <c r="D35" s="6"/>
    </row>
    <row r="36" customFormat="false" ht="15" hidden="false" customHeight="false" outlineLevel="0" collapsed="false">
      <c r="A36" s="7" t="s">
        <v>789</v>
      </c>
      <c r="B36" s="44" t="n">
        <v>55.2304506011756</v>
      </c>
    </row>
    <row r="37" customFormat="false" ht="15" hidden="false" customHeight="false" outlineLevel="0" collapsed="false">
      <c r="A37" s="7" t="s">
        <v>790</v>
      </c>
      <c r="B37" s="44" t="n">
        <v>0.411236615298259</v>
      </c>
    </row>
    <row r="38" customFormat="false" ht="15" hidden="false" customHeight="false" outlineLevel="0" collapsed="false">
      <c r="A38" s="7" t="s">
        <v>791</v>
      </c>
      <c r="B38" s="44" t="n">
        <v>0</v>
      </c>
    </row>
    <row r="39" customFormat="false" ht="15" hidden="false" customHeight="false" outlineLevel="0" collapsed="false">
      <c r="A39" s="7" t="s">
        <v>792</v>
      </c>
      <c r="B39" s="44" t="n">
        <v>0</v>
      </c>
    </row>
    <row r="40" customFormat="false" ht="15" hidden="false" customHeight="false" outlineLevel="0" collapsed="false">
      <c r="A40" s="7" t="s">
        <v>793</v>
      </c>
      <c r="B40" s="44" t="n">
        <v>11.2085072702439</v>
      </c>
    </row>
    <row r="41" customFormat="false" ht="15" hidden="false" customHeight="false" outlineLevel="0" collapsed="false">
      <c r="A41" s="7" t="s">
        <v>794</v>
      </c>
      <c r="B41" s="44" t="n">
        <v>41.0951807778195</v>
      </c>
    </row>
    <row r="42" customFormat="false" ht="15" hidden="false" customHeight="false" outlineLevel="0" collapsed="false">
      <c r="A42" s="7" t="s">
        <v>795</v>
      </c>
      <c r="B42" s="44" t="n">
        <v>79.945638583153</v>
      </c>
    </row>
    <row r="43" customFormat="false" ht="15" hidden="false" customHeight="false" outlineLevel="0" collapsed="false">
      <c r="A43" s="7" t="s">
        <v>796</v>
      </c>
      <c r="B43" s="44" t="n">
        <v>128.208707916914</v>
      </c>
    </row>
    <row r="44" customFormat="false" ht="15" hidden="false" customHeight="false" outlineLevel="0" collapsed="false">
      <c r="A44" s="7" t="s">
        <v>797</v>
      </c>
      <c r="B44" s="44" t="n">
        <v>165.630519004369</v>
      </c>
    </row>
    <row r="45" customFormat="false" ht="15" hidden="false" customHeight="false" outlineLevel="0" collapsed="false">
      <c r="A45" s="7" t="s">
        <v>798</v>
      </c>
      <c r="B45" s="64" t="n">
        <v>0.3456</v>
      </c>
    </row>
    <row r="46" customFormat="false" ht="15" hidden="false" customHeight="false" outlineLevel="0" collapsed="false">
      <c r="A46" s="7" t="s">
        <v>799</v>
      </c>
      <c r="B46" s="64" t="n">
        <v>0.19045</v>
      </c>
    </row>
    <row r="47" customFormat="false" ht="15" hidden="false" customHeight="false" outlineLevel="0" collapsed="false">
      <c r="A47" s="7" t="s">
        <v>800</v>
      </c>
      <c r="B47" s="44" t="n">
        <v>65.0995410197732</v>
      </c>
    </row>
    <row r="48" customFormat="false" ht="15" hidden="false" customHeight="false" outlineLevel="0" collapsed="false">
      <c r="A48" s="7" t="s">
        <v>801</v>
      </c>
      <c r="B48" s="44" t="n">
        <v>52.8789536734537</v>
      </c>
    </row>
    <row r="49" customFormat="false" ht="15" hidden="false" customHeight="false" outlineLevel="0" collapsed="false">
      <c r="A49" s="7" t="s">
        <v>802</v>
      </c>
      <c r="B49" s="44" t="n">
        <v>62.42</v>
      </c>
    </row>
    <row r="50" customFormat="false" ht="15" hidden="false" customHeight="false" outlineLevel="0" collapsed="false">
      <c r="A50" s="7" t="s">
        <v>803</v>
      </c>
      <c r="B50" s="69" t="n">
        <f aca="false">$B$36/$B$48-1</f>
        <v>0.0444694299785748</v>
      </c>
      <c r="D50" s="17" t="s">
        <v>804</v>
      </c>
    </row>
    <row r="51" customFormat="false" ht="15" hidden="false" customHeight="false" outlineLevel="0" collapsed="false">
      <c r="A51" s="7" t="s">
        <v>805</v>
      </c>
      <c r="B51" s="69" t="n">
        <f aca="false">($B$36*(1+WACC!$C$8)^3/$B$49)^(1/3)-1</f>
        <v>0.060829775358108</v>
      </c>
    </row>
    <row r="53" customFormat="false" ht="15" hidden="false" customHeight="false" outlineLevel="0" collapsed="false">
      <c r="A53" s="3" t="s">
        <v>806</v>
      </c>
    </row>
    <row r="54" customFormat="false" ht="15" hidden="false" customHeight="false" outlineLevel="0" collapsed="false">
      <c r="A54" s="7" t="s">
        <v>807</v>
      </c>
      <c r="B54" s="44" t="n">
        <v>53.775703703375</v>
      </c>
    </row>
    <row r="55" customFormat="false" ht="15" hidden="false" customHeight="false" outlineLevel="0" collapsed="false">
      <c r="A55" s="7" t="s">
        <v>808</v>
      </c>
      <c r="B55" s="44" t="n">
        <v>54.4816825936976</v>
      </c>
    </row>
    <row r="56" customFormat="false" ht="15" hidden="false" customHeight="false" outlineLevel="0" collapsed="false">
      <c r="A56" s="7" t="s">
        <v>809</v>
      </c>
      <c r="B56" s="44" t="n">
        <v>54.8600192597488</v>
      </c>
    </row>
    <row r="57" customFormat="false" ht="15" hidden="false" customHeight="false" outlineLevel="0" collapsed="false">
      <c r="A57" s="7" t="s">
        <v>810</v>
      </c>
      <c r="B57" s="44" t="n">
        <v>55.2304506011756</v>
      </c>
    </row>
    <row r="59" customFormat="false" ht="15" hidden="false" customHeight="false" outlineLevel="0" collapsed="false">
      <c r="A59" s="18" t="s">
        <v>811</v>
      </c>
      <c r="B59" s="18" t="s">
        <v>752</v>
      </c>
    </row>
    <row r="60" customFormat="false" ht="15" hidden="false" customHeight="false" outlineLevel="0" collapsed="false">
      <c r="A60" s="7" t="s">
        <v>812</v>
      </c>
      <c r="B60" s="33" t="n">
        <v>4839</v>
      </c>
    </row>
    <row r="61" customFormat="false" ht="15" hidden="false" customHeight="false" outlineLevel="0" collapsed="false">
      <c r="A61" s="7" t="s">
        <v>813</v>
      </c>
      <c r="B61" s="33" t="n">
        <v>1547</v>
      </c>
    </row>
    <row r="62" customFormat="false" ht="15" hidden="false" customHeight="false" outlineLevel="0" collapsed="false">
      <c r="A62" s="7" t="s">
        <v>814</v>
      </c>
      <c r="B62" s="33" t="n">
        <v>1707</v>
      </c>
    </row>
    <row r="63" customFormat="false" ht="15" hidden="false" customHeight="false" outlineLevel="0" collapsed="false">
      <c r="A63" s="7" t="s">
        <v>815</v>
      </c>
      <c r="B63" s="33" t="n">
        <v>1716</v>
      </c>
    </row>
    <row r="64" customFormat="false" ht="15" hidden="false" customHeight="false" outlineLevel="0" collapsed="false">
      <c r="A64" s="7" t="s">
        <v>816</v>
      </c>
      <c r="B64" s="33" t="n">
        <v>1591</v>
      </c>
    </row>
    <row r="65" customFormat="false" ht="15" hidden="false" customHeight="false" outlineLevel="0" collapsed="false">
      <c r="A65" s="7" t="s">
        <v>817</v>
      </c>
      <c r="B65" s="33" t="n">
        <v>1394</v>
      </c>
    </row>
    <row r="66" customFormat="false" ht="15" hidden="false" customHeight="false" outlineLevel="0" collapsed="false">
      <c r="A66" s="7" t="s">
        <v>818</v>
      </c>
      <c r="B66" s="33" t="n">
        <v>1206</v>
      </c>
    </row>
    <row r="67" customFormat="false" ht="15" hidden="false" customHeight="false" outlineLevel="0" collapsed="false">
      <c r="A67" s="7" t="s">
        <v>819</v>
      </c>
      <c r="B67" s="33" t="n">
        <v>1004</v>
      </c>
    </row>
    <row r="68" customFormat="false" ht="15" hidden="false" customHeight="false" outlineLevel="0" collapsed="false">
      <c r="A68" s="7" t="s">
        <v>820</v>
      </c>
      <c r="B68" s="33" t="n">
        <v>837</v>
      </c>
    </row>
    <row r="69" customFormat="false" ht="15" hidden="false" customHeight="false" outlineLevel="0" collapsed="false">
      <c r="A69" s="7" t="s">
        <v>821</v>
      </c>
      <c r="B69" s="33" t="n">
        <v>690</v>
      </c>
    </row>
    <row r="70" customFormat="false" ht="15" hidden="false" customHeight="false" outlineLevel="0" collapsed="false">
      <c r="A70" s="7" t="s">
        <v>822</v>
      </c>
      <c r="B70" s="33" t="n">
        <v>636</v>
      </c>
    </row>
    <row r="71" customFormat="false" ht="15" hidden="false" customHeight="false" outlineLevel="0" collapsed="false">
      <c r="A71" s="7" t="s">
        <v>823</v>
      </c>
      <c r="B71" s="33" t="n">
        <v>488</v>
      </c>
    </row>
    <row r="72" customFormat="false" ht="15" hidden="false" customHeight="false" outlineLevel="0" collapsed="false">
      <c r="A72" s="7" t="s">
        <v>824</v>
      </c>
      <c r="B72" s="33" t="n">
        <v>430</v>
      </c>
    </row>
    <row r="73" customFormat="false" ht="15" hidden="false" customHeight="false" outlineLevel="0" collapsed="false">
      <c r="A73" s="7" t="s">
        <v>825</v>
      </c>
      <c r="B73" s="33" t="n">
        <v>320</v>
      </c>
    </row>
    <row r="74" customFormat="false" ht="15" hidden="false" customHeight="false" outlineLevel="0" collapsed="false">
      <c r="A74" s="7" t="s">
        <v>826</v>
      </c>
      <c r="B74" s="33" t="n">
        <v>253</v>
      </c>
    </row>
    <row r="75" customFormat="false" ht="15" hidden="false" customHeight="false" outlineLevel="0" collapsed="false">
      <c r="A75" s="7" t="s">
        <v>827</v>
      </c>
      <c r="B75" s="33" t="n">
        <v>239</v>
      </c>
    </row>
    <row r="76" customFormat="false" ht="15" hidden="false" customHeight="false" outlineLevel="0" collapsed="false">
      <c r="A76" s="7" t="s">
        <v>828</v>
      </c>
      <c r="B76" s="33" t="n">
        <v>193</v>
      </c>
    </row>
    <row r="77" customFormat="false" ht="15" hidden="false" customHeight="false" outlineLevel="0" collapsed="false">
      <c r="A77" s="7" t="s">
        <v>829</v>
      </c>
      <c r="B77" s="33" t="n">
        <v>161</v>
      </c>
    </row>
    <row r="78" customFormat="false" ht="15" hidden="false" customHeight="false" outlineLevel="0" collapsed="false">
      <c r="A78" s="7" t="s">
        <v>830</v>
      </c>
      <c r="B78" s="33" t="n">
        <v>134</v>
      </c>
    </row>
    <row r="79" customFormat="false" ht="15" hidden="false" customHeight="false" outlineLevel="0" collapsed="false">
      <c r="A79" s="7" t="s">
        <v>831</v>
      </c>
      <c r="B79" s="33" t="n">
        <v>94</v>
      </c>
    </row>
    <row r="80" customFormat="false" ht="15" hidden="false" customHeight="false" outlineLevel="0" collapsed="false">
      <c r="A80" s="7" t="s">
        <v>832</v>
      </c>
      <c r="B80" s="33" t="n">
        <v>82</v>
      </c>
    </row>
    <row r="81" customFormat="false" ht="15" hidden="false" customHeight="false" outlineLevel="0" collapsed="false">
      <c r="A81" s="7" t="s">
        <v>833</v>
      </c>
      <c r="B81" s="33" t="n">
        <v>64</v>
      </c>
    </row>
    <row r="82" customFormat="false" ht="15" hidden="false" customHeight="false" outlineLevel="0" collapsed="false">
      <c r="A82" s="7" t="s">
        <v>834</v>
      </c>
      <c r="B82" s="33" t="n">
        <v>55</v>
      </c>
    </row>
    <row r="83" customFormat="false" ht="15" hidden="false" customHeight="false" outlineLevel="0" collapsed="false">
      <c r="A83" s="7" t="s">
        <v>835</v>
      </c>
      <c r="B83" s="33" t="n">
        <v>46</v>
      </c>
    </row>
    <row r="84" customFormat="false" ht="15" hidden="false" customHeight="false" outlineLevel="0" collapsed="false">
      <c r="A84" s="7" t="s">
        <v>836</v>
      </c>
      <c r="B84" s="33" t="n">
        <v>46</v>
      </c>
    </row>
    <row r="85" customFormat="false" ht="15" hidden="false" customHeight="false" outlineLevel="0" collapsed="false">
      <c r="A85" s="7" t="s">
        <v>837</v>
      </c>
      <c r="B85" s="33" t="n">
        <v>26</v>
      </c>
    </row>
    <row r="86" customFormat="false" ht="15" hidden="false" customHeight="false" outlineLevel="0" collapsed="false">
      <c r="A86" s="7" t="s">
        <v>838</v>
      </c>
      <c r="B86" s="33" t="n">
        <v>24</v>
      </c>
    </row>
    <row r="87" customFormat="false" ht="15" hidden="false" customHeight="false" outlineLevel="0" collapsed="false">
      <c r="A87" s="7" t="s">
        <v>839</v>
      </c>
      <c r="B87" s="33" t="n">
        <v>32</v>
      </c>
    </row>
    <row r="88" customFormat="false" ht="15" hidden="false" customHeight="false" outlineLevel="0" collapsed="false">
      <c r="A88" s="7" t="s">
        <v>840</v>
      </c>
      <c r="B88" s="33" t="n">
        <v>18</v>
      </c>
    </row>
    <row r="89" customFormat="false" ht="15" hidden="false" customHeight="false" outlineLevel="0" collapsed="false">
      <c r="A89" s="7" t="s">
        <v>841</v>
      </c>
      <c r="B89" s="33" t="n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4"/>
    <col collapsed="false" customWidth="true" hidden="false" outlineLevel="0" max="6" min="6" style="0" width="64"/>
  </cols>
  <sheetData>
    <row r="1" customFormat="false" ht="17.35" hidden="false" customHeight="false" outlineLevel="0" collapsed="false">
      <c r="A1" s="1" t="s">
        <v>842</v>
      </c>
    </row>
    <row r="2" customFormat="false" ht="15" hidden="false" customHeight="false" outlineLevel="0" collapsed="false">
      <c r="A2" s="2" t="s">
        <v>843</v>
      </c>
    </row>
    <row r="4" customFormat="false" ht="15" hidden="false" customHeight="false" outlineLevel="0" collapsed="false">
      <c r="A4" s="5" t="s">
        <v>844</v>
      </c>
      <c r="B4" s="6"/>
      <c r="C4" s="6"/>
      <c r="D4" s="6"/>
      <c r="E4" s="6"/>
      <c r="F4" s="6"/>
    </row>
    <row r="5" customFormat="false" ht="15" hidden="false" customHeight="false" outlineLevel="0" collapsed="false">
      <c r="A5" s="7" t="s">
        <v>845</v>
      </c>
      <c r="B5" s="14" t="n">
        <f aca="false">Market_Data!$J$14</f>
        <v>0.937518987933979</v>
      </c>
    </row>
    <row r="6" customFormat="false" ht="15" hidden="false" customHeight="false" outlineLevel="0" collapsed="false">
      <c r="A6" s="7" t="s">
        <v>466</v>
      </c>
      <c r="B6" s="14" t="n">
        <f aca="false">Market_Data!$J$16</f>
        <v>0.912818955298614</v>
      </c>
    </row>
    <row r="7" customFormat="false" ht="15" hidden="false" customHeight="false" outlineLevel="0" collapsed="false">
      <c r="A7" s="7" t="s">
        <v>846</v>
      </c>
      <c r="B7" s="22" t="n">
        <f aca="false">Market_Data!$J$9</f>
        <v>1.41859047647269</v>
      </c>
      <c r="C7" s="22" t="n">
        <f aca="false">Market_Data!$J$10</f>
        <v>0.602707661443031</v>
      </c>
    </row>
    <row r="8" customFormat="false" ht="15" hidden="false" customHeight="false" outlineLevel="0" collapsed="false">
      <c r="A8" s="7" t="s">
        <v>847</v>
      </c>
      <c r="B8" s="14" t="n">
        <f aca="false">Market_Data!$J$12</f>
        <v>0.051998215174295</v>
      </c>
    </row>
    <row r="9" customFormat="false" ht="15" hidden="false" customHeight="false" outlineLevel="0" collapsed="false">
      <c r="A9" s="7" t="s">
        <v>468</v>
      </c>
      <c r="B9" s="14" t="n">
        <f aca="false">Market_Data!$J$17</f>
        <v>-0.514554720566641</v>
      </c>
    </row>
    <row r="10" customFormat="false" ht="15" hidden="false" customHeight="false" outlineLevel="0" collapsed="false">
      <c r="A10" s="7" t="s">
        <v>848</v>
      </c>
      <c r="B10" s="14" t="n">
        <f aca="false">Market_Data!$J$18</f>
        <v>-0.156907706800529</v>
      </c>
    </row>
    <row r="11" customFormat="false" ht="15" hidden="false" customHeight="false" outlineLevel="0" collapsed="false">
      <c r="A11" s="7" t="s">
        <v>849</v>
      </c>
      <c r="B11" s="14" t="n">
        <f aca="false">Market_Data!$J$19</f>
        <v>-0.177022743711296</v>
      </c>
    </row>
    <row r="12" customFormat="false" ht="15" hidden="false" customHeight="false" outlineLevel="0" collapsed="false">
      <c r="A12" s="7" t="s">
        <v>850</v>
      </c>
      <c r="B12" s="14" t="n">
        <f aca="false">Market_Data!$J$20</f>
        <v>-0.198822005679155</v>
      </c>
    </row>
    <row r="13" customFormat="false" ht="15" hidden="false" customHeight="false" outlineLevel="0" collapsed="false">
      <c r="A13" s="7" t="s">
        <v>851</v>
      </c>
      <c r="B13" s="14" t="n">
        <f aca="false">Market_Data!$J$21</f>
        <v>0.504964825590634</v>
      </c>
    </row>
    <row r="14" customFormat="false" ht="15" hidden="false" customHeight="false" outlineLevel="0" collapsed="false">
      <c r="A14" s="7" t="s">
        <v>852</v>
      </c>
      <c r="B14" s="70" t="n">
        <f aca="false">(Valuation_Summary!F24-Inputs!$D$7)/Market_Data!$J$14</f>
        <v>-0.00303398892896585</v>
      </c>
      <c r="F14" s="17" t="s">
        <v>853</v>
      </c>
    </row>
    <row r="16" customFormat="false" ht="15" hidden="false" customHeight="false" outlineLevel="0" collapsed="false">
      <c r="A16" s="5" t="s">
        <v>854</v>
      </c>
      <c r="B16" s="6"/>
      <c r="C16" s="6"/>
      <c r="D16" s="6"/>
      <c r="E16" s="6"/>
      <c r="F16" s="6"/>
    </row>
    <row r="17" customFormat="false" ht="15" hidden="false" customHeight="false" outlineLevel="0" collapsed="false">
      <c r="B17" s="3" t="s">
        <v>16</v>
      </c>
      <c r="C17" s="3" t="s">
        <v>17</v>
      </c>
      <c r="D17" s="3" t="s">
        <v>18</v>
      </c>
      <c r="E17" s="3" t="s">
        <v>19</v>
      </c>
    </row>
    <row r="18" customFormat="false" ht="15" hidden="false" customHeight="false" outlineLevel="0" collapsed="false">
      <c r="A18" s="7" t="s">
        <v>855</v>
      </c>
      <c r="B18" s="16" t="n">
        <f aca="false">(Capital_Structure!$D$20-Capital_Structure!B25)</f>
        <v>3335.203</v>
      </c>
      <c r="C18" s="16" t="n">
        <f aca="false">(Capital_Structure!$D$20-Capital_Structure!B25)</f>
        <v>3335.203</v>
      </c>
      <c r="D18" s="16" t="n">
        <f aca="false">(Capital_Structure!$D$20-Capital_Structure!B25)</f>
        <v>3335.203</v>
      </c>
      <c r="E18" s="16" t="n">
        <f aca="false">(Capital_Structure!$D$20-Capital_Structure!B25)</f>
        <v>3335.203</v>
      </c>
    </row>
    <row r="19" customFormat="false" ht="15" hidden="false" customHeight="false" outlineLevel="0" collapsed="false">
      <c r="A19" s="7" t="s">
        <v>856</v>
      </c>
      <c r="B19" s="16" t="n">
        <f aca="false">Calc_Distress!C113</f>
        <v>-13563.6870313825</v>
      </c>
      <c r="C19" s="16" t="n">
        <f aca="false">Calc_Bear!C113</f>
        <v>-5827.85033932901</v>
      </c>
      <c r="D19" s="16" t="n">
        <f aca="false">Calc_Base!C113</f>
        <v>-3413.28016616826</v>
      </c>
      <c r="E19" s="16" t="n">
        <f aca="false">Calc_Bull!C113</f>
        <v>-2121.00429379135</v>
      </c>
    </row>
    <row r="20" customFormat="false" ht="15" hidden="false" customHeight="false" outlineLevel="0" collapsed="false">
      <c r="A20" s="3" t="s">
        <v>857</v>
      </c>
      <c r="B20" s="43" t="n">
        <f aca="false">B18+B19</f>
        <v>-10228.4840313825</v>
      </c>
      <c r="C20" s="43" t="n">
        <f aca="false">C18+C19</f>
        <v>-2492.64733932901</v>
      </c>
      <c r="D20" s="43" t="n">
        <f aca="false">D18+D19</f>
        <v>-78.0771661682579</v>
      </c>
      <c r="E20" s="43" t="n">
        <f aca="false">E18+E19</f>
        <v>1214.19870620865</v>
      </c>
      <c r="F20" s="17" t="s">
        <v>858</v>
      </c>
    </row>
    <row r="21" customFormat="false" ht="15" hidden="false" customHeight="false" outlineLevel="0" collapsed="false">
      <c r="F21" s="17" t="s">
        <v>859</v>
      </c>
    </row>
    <row r="22" customFormat="false" ht="15" hidden="false" customHeight="false" outlineLevel="0" collapsed="false">
      <c r="A22" s="5" t="s">
        <v>860</v>
      </c>
      <c r="B22" s="6"/>
      <c r="C22" s="6"/>
      <c r="D22" s="6"/>
      <c r="E22" s="6"/>
      <c r="F22" s="6"/>
    </row>
    <row r="23" customFormat="false" ht="15" hidden="false" customHeight="false" outlineLevel="0" collapsed="false">
      <c r="A23" s="7" t="s">
        <v>368</v>
      </c>
      <c r="B23" s="7" t="s">
        <v>861</v>
      </c>
      <c r="C23" s="31" t="n">
        <v>3.514</v>
      </c>
      <c r="F23" s="17" t="s">
        <v>862</v>
      </c>
    </row>
    <row r="24" customFormat="false" ht="15" hidden="false" customHeight="false" outlineLevel="0" collapsed="false">
      <c r="A24" s="7" t="s">
        <v>370</v>
      </c>
      <c r="B24" s="7" t="s">
        <v>863</v>
      </c>
      <c r="C24" s="31" t="n">
        <v>325</v>
      </c>
    </row>
    <row r="25" customFormat="false" ht="15" hidden="false" customHeight="false" outlineLevel="0" collapsed="false">
      <c r="A25" s="7" t="s">
        <v>864</v>
      </c>
      <c r="B25" s="7" t="s">
        <v>865</v>
      </c>
      <c r="C25" s="31" t="n">
        <v>1150</v>
      </c>
    </row>
    <row r="26" customFormat="false" ht="15" hidden="false" customHeight="false" outlineLevel="0" collapsed="false">
      <c r="A26" s="7" t="s">
        <v>372</v>
      </c>
      <c r="B26" s="7" t="s">
        <v>866</v>
      </c>
      <c r="C26" s="31" t="n">
        <v>1150</v>
      </c>
    </row>
    <row r="27" customFormat="false" ht="15" hidden="false" customHeight="false" outlineLevel="0" collapsed="false">
      <c r="A27" s="7" t="s">
        <v>374</v>
      </c>
      <c r="B27" s="7" t="s">
        <v>867</v>
      </c>
      <c r="C27" s="31" t="n">
        <v>1075</v>
      </c>
    </row>
    <row r="29" customFormat="false" ht="15" hidden="false" customHeight="false" outlineLevel="0" collapsed="false">
      <c r="A29" s="5" t="s">
        <v>868</v>
      </c>
      <c r="B29" s="6"/>
      <c r="C29" s="6"/>
      <c r="D29" s="6"/>
      <c r="E29" s="6"/>
      <c r="F29" s="6"/>
    </row>
    <row r="30" customFormat="false" ht="15" hidden="false" customHeight="false" outlineLevel="0" collapsed="false">
      <c r="A30" s="7" t="s">
        <v>869</v>
      </c>
      <c r="B30" s="71" t="n">
        <f aca="false">Monte_Carlo!$B$45</f>
        <v>0.3456</v>
      </c>
    </row>
    <row r="31" customFormat="false" ht="15" hidden="false" customHeight="false" outlineLevel="0" collapsed="false">
      <c r="A31" s="7" t="s">
        <v>799</v>
      </c>
      <c r="B31" s="71" t="n">
        <f aca="false">Monte_Carlo!$B$46</f>
        <v>0.19045</v>
      </c>
    </row>
    <row r="32" customFormat="false" ht="15" hidden="false" customHeight="false" outlineLevel="0" collapsed="false">
      <c r="A32" s="7" t="s">
        <v>870</v>
      </c>
      <c r="B32" s="15" t="n">
        <f aca="false">Monte_Carlo!$B$39</f>
        <v>0</v>
      </c>
    </row>
    <row r="33" customFormat="false" ht="15" hidden="false" customHeight="false" outlineLevel="0" collapsed="false">
      <c r="A33" s="7" t="s">
        <v>871</v>
      </c>
      <c r="B33" s="15" t="n">
        <f aca="false">Monte_Carlo!$B$43</f>
        <v>128.208707916914</v>
      </c>
    </row>
    <row r="35" customFormat="false" ht="15" hidden="false" customHeight="false" outlineLevel="0" collapsed="false">
      <c r="A35" s="5" t="s">
        <v>872</v>
      </c>
      <c r="B35" s="6"/>
      <c r="C35" s="6"/>
      <c r="D35" s="6"/>
      <c r="E35" s="6"/>
      <c r="F35" s="6"/>
    </row>
    <row r="36" customFormat="false" ht="15" hidden="false" customHeight="false" outlineLevel="0" collapsed="false">
      <c r="A36" s="3" t="s">
        <v>873</v>
      </c>
      <c r="B36" s="3" t="s">
        <v>874</v>
      </c>
      <c r="F36" s="3" t="s">
        <v>875</v>
      </c>
    </row>
    <row r="37" customFormat="false" ht="15" hidden="false" customHeight="false" outlineLevel="0" collapsed="false">
      <c r="A37" s="7" t="s">
        <v>876</v>
      </c>
      <c r="B37" s="7" t="s">
        <v>877</v>
      </c>
      <c r="F37" s="17" t="s">
        <v>878</v>
      </c>
    </row>
    <row r="38" customFormat="false" ht="15" hidden="false" customHeight="false" outlineLevel="0" collapsed="false">
      <c r="A38" s="7" t="s">
        <v>879</v>
      </c>
      <c r="B38" s="7" t="s">
        <v>880</v>
      </c>
      <c r="F38" s="17" t="s">
        <v>881</v>
      </c>
    </row>
    <row r="39" customFormat="false" ht="15" hidden="false" customHeight="false" outlineLevel="0" collapsed="false">
      <c r="A39" s="7" t="s">
        <v>882</v>
      </c>
      <c r="B39" s="7" t="s">
        <v>883</v>
      </c>
      <c r="F39" s="17" t="s">
        <v>884</v>
      </c>
    </row>
    <row r="40" customFormat="false" ht="15" hidden="false" customHeight="false" outlineLevel="0" collapsed="false">
      <c r="A40" s="7" t="s">
        <v>885</v>
      </c>
      <c r="B40" s="7" t="s">
        <v>886</v>
      </c>
      <c r="F40" s="17" t="s">
        <v>887</v>
      </c>
    </row>
    <row r="41" customFormat="false" ht="15" hidden="false" customHeight="false" outlineLevel="0" collapsed="false">
      <c r="A41" s="7" t="s">
        <v>888</v>
      </c>
      <c r="B41" s="7" t="s">
        <v>125</v>
      </c>
      <c r="F41" s="17" t="s">
        <v>889</v>
      </c>
    </row>
    <row r="42" customFormat="false" ht="15" hidden="false" customHeight="false" outlineLevel="0" collapsed="false">
      <c r="A42" s="7" t="s">
        <v>890</v>
      </c>
      <c r="B42" s="7" t="s">
        <v>891</v>
      </c>
      <c r="F42" s="17" t="s">
        <v>892</v>
      </c>
    </row>
    <row r="43" customFormat="false" ht="15" hidden="false" customHeight="false" outlineLevel="0" collapsed="false">
      <c r="A43" s="7" t="s">
        <v>893</v>
      </c>
      <c r="B43" s="7" t="s">
        <v>894</v>
      </c>
      <c r="F43" s="17" t="s">
        <v>895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E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8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896</v>
      </c>
    </row>
    <row r="2" customFormat="false" ht="15" hidden="false" customHeight="false" outlineLevel="0" collapsed="false">
      <c r="A2" s="2" t="s">
        <v>897</v>
      </c>
    </row>
    <row r="3" customFormat="false" ht="15" hidden="false" customHeight="false" outlineLevel="0" collapsed="false">
      <c r="B3" s="3" t="s">
        <v>898</v>
      </c>
      <c r="C3" s="4" t="str">
        <f aca="false">IF(COUNTIF(D5:D48,FALSE())=0,"ALL PASS",COUNTIF(D5:D48,FALSE())&amp;" FAIL")</f>
        <v>ALL PASS</v>
      </c>
    </row>
    <row r="4" customFormat="false" ht="15" hidden="false" customHeight="false" outlineLevel="0" collapsed="false">
      <c r="A4" s="18" t="s">
        <v>134</v>
      </c>
      <c r="B4" s="18" t="s">
        <v>899</v>
      </c>
      <c r="C4" s="18" t="s">
        <v>59</v>
      </c>
      <c r="D4" s="18" t="s">
        <v>900</v>
      </c>
      <c r="E4" s="18" t="s">
        <v>901</v>
      </c>
    </row>
    <row r="5" customFormat="false" ht="15" hidden="false" customHeight="false" outlineLevel="0" collapsed="false">
      <c r="A5" s="7" t="n">
        <v>1</v>
      </c>
      <c r="B5" s="7" t="s">
        <v>902</v>
      </c>
      <c r="C5" s="72" t="n">
        <f aca="false">Inputs!$D$107</f>
        <v>1</v>
      </c>
      <c r="D5" s="73" t="b">
        <f aca="false">ABS(C5-1)&lt;0.0001</f>
        <v>1</v>
      </c>
      <c r="E5" s="17" t="s">
        <v>903</v>
      </c>
    </row>
    <row r="6" customFormat="false" ht="15" hidden="false" customHeight="false" outlineLevel="0" collapsed="false">
      <c r="A6" s="7" t="n">
        <v>2</v>
      </c>
      <c r="B6" s="7" t="s">
        <v>904</v>
      </c>
      <c r="C6" s="72" t="n">
        <f aca="false">Inputs!$D$20-Inputs!$D$7</f>
        <v>-0.0234</v>
      </c>
      <c r="D6" s="73" t="b">
        <f aca="false">C6&lt;0</f>
        <v>1</v>
      </c>
      <c r="E6" s="17" t="s">
        <v>905</v>
      </c>
    </row>
    <row r="7" customFormat="false" ht="15" hidden="false" customHeight="false" outlineLevel="0" collapsed="false">
      <c r="A7" s="7" t="n">
        <v>3</v>
      </c>
      <c r="B7" s="7" t="s">
        <v>906</v>
      </c>
      <c r="C7" s="72" t="n">
        <f aca="false">WACC!$C$16-Inputs!$D$20</f>
        <v>0.057575</v>
      </c>
      <c r="D7" s="73" t="b">
        <f aca="false">C7&gt;=0.03</f>
        <v>1</v>
      </c>
      <c r="E7" s="17" t="s">
        <v>907</v>
      </c>
    </row>
    <row r="8" customFormat="false" ht="15" hidden="false" customHeight="false" outlineLevel="0" collapsed="false">
      <c r="A8" s="7" t="n">
        <v>4</v>
      </c>
      <c r="B8" s="7" t="s">
        <v>908</v>
      </c>
      <c r="C8" s="72" t="n">
        <f aca="false">Inputs!$D$19</f>
        <v>0</v>
      </c>
      <c r="D8" s="73" t="b">
        <f aca="false">C8=0</f>
        <v>1</v>
      </c>
      <c r="E8" s="17" t="s">
        <v>909</v>
      </c>
    </row>
    <row r="9" customFormat="false" ht="15" hidden="false" customHeight="false" outlineLevel="0" collapsed="false">
      <c r="A9" s="7" t="n">
        <v>5</v>
      </c>
      <c r="B9" s="7" t="s">
        <v>910</v>
      </c>
      <c r="C9" s="72" t="n">
        <f aca="false">Capital_Structure!$D$21</f>
        <v>3742.599</v>
      </c>
      <c r="D9" s="73" t="b">
        <f aca="false">AND(C9&gt;=3700,C9&lt;=3700*1.03)</f>
        <v>1</v>
      </c>
      <c r="E9" s="17" t="s">
        <v>911</v>
      </c>
    </row>
    <row r="10" customFormat="false" ht="15" hidden="false" customHeight="false" outlineLevel="0" collapsed="false">
      <c r="A10" s="7" t="n">
        <v>6</v>
      </c>
      <c r="B10" s="7" t="s">
        <v>912</v>
      </c>
      <c r="C10" s="72" t="n">
        <f aca="false">Capital_Structure!$B$36</f>
        <v>3022.152</v>
      </c>
      <c r="D10" s="73" t="b">
        <f aca="false">ABS(C10-3022.152)&lt;0.01</f>
        <v>1</v>
      </c>
      <c r="E10" s="17" t="s">
        <v>913</v>
      </c>
    </row>
    <row r="11" customFormat="false" ht="15" hidden="false" customHeight="false" outlineLevel="0" collapsed="false">
      <c r="A11" s="7" t="n">
        <v>7</v>
      </c>
      <c r="B11" s="7" t="s">
        <v>914</v>
      </c>
      <c r="C11" s="72" t="n">
        <f aca="false">Capital_Structure!$B$9</f>
        <v>389.167494</v>
      </c>
      <c r="D11" s="73" t="b">
        <f aca="false">ABS(C11-389.167494)&lt;0.001</f>
        <v>1</v>
      </c>
      <c r="E11" s="17" t="s">
        <v>915</v>
      </c>
    </row>
    <row r="12" customFormat="false" ht="15" hidden="false" customHeight="false" outlineLevel="0" collapsed="false">
      <c r="A12" s="7" t="n">
        <v>8</v>
      </c>
      <c r="B12" s="7" t="s">
        <v>916</v>
      </c>
      <c r="C12" s="72" t="n">
        <f aca="false">Sensitivity!$D$12</f>
        <v>0</v>
      </c>
      <c r="D12" s="73" t="b">
        <f aca="false">ABS(C12)&lt;0.005</f>
        <v>1</v>
      </c>
      <c r="E12" s="17" t="s">
        <v>917</v>
      </c>
    </row>
    <row r="13" customFormat="false" ht="15" hidden="false" customHeight="false" outlineLevel="0" collapsed="false">
      <c r="A13" s="7" t="n">
        <v>9</v>
      </c>
      <c r="B13" s="7" t="s">
        <v>918</v>
      </c>
      <c r="C13" s="72" t="n">
        <f aca="false">SUMPRODUCT(--(Calc_Distress!E73:R73&gt;=Calc_Distress!D73:Q73))</f>
        <v>0</v>
      </c>
      <c r="D13" s="73" t="b">
        <f aca="false">C13=0</f>
        <v>1</v>
      </c>
      <c r="E13" s="17" t="s">
        <v>919</v>
      </c>
    </row>
    <row r="14" customFormat="false" ht="15" hidden="false" customHeight="false" outlineLevel="0" collapsed="false">
      <c r="A14" s="7" t="n">
        <v>10</v>
      </c>
      <c r="B14" s="7" t="s">
        <v>920</v>
      </c>
      <c r="C14" s="72" t="n">
        <f aca="false">MIN(Calc_Distress!D15:R15)</f>
        <v>15</v>
      </c>
      <c r="D14" s="73" t="b">
        <f aca="false">C14&gt;=0</f>
        <v>1</v>
      </c>
      <c r="E14" s="17" t="s">
        <v>921</v>
      </c>
    </row>
    <row r="15" customFormat="false" ht="15" hidden="false" customHeight="false" outlineLevel="0" collapsed="false">
      <c r="A15" s="7" t="n">
        <v>11</v>
      </c>
      <c r="B15" s="7" t="s">
        <v>922</v>
      </c>
      <c r="C15" s="72" t="n">
        <f aca="false">MIN(Calc_Distress!D62:R62)</f>
        <v>1792.72368421053</v>
      </c>
      <c r="D15" s="73" t="b">
        <f aca="false">C15&gt;=-0.001</f>
        <v>1</v>
      </c>
      <c r="E15" s="17" t="s">
        <v>923</v>
      </c>
    </row>
    <row r="16" customFormat="false" ht="15" hidden="false" customHeight="false" outlineLevel="0" collapsed="false">
      <c r="A16" s="7" t="n">
        <v>12</v>
      </c>
      <c r="B16" s="7" t="s">
        <v>924</v>
      </c>
      <c r="C16" s="72" t="n">
        <f aca="false">SUM(Calc_Distress!D21:R21)-Calc_Distress!C20</f>
        <v>0</v>
      </c>
      <c r="D16" s="73" t="b">
        <f aca="false">C16&lt;=0.001</f>
        <v>1</v>
      </c>
      <c r="E16" s="17" t="s">
        <v>925</v>
      </c>
    </row>
    <row r="17" customFormat="false" ht="15" hidden="false" customHeight="false" outlineLevel="0" collapsed="false">
      <c r="A17" s="7" t="n">
        <v>13</v>
      </c>
      <c r="B17" s="7" t="s">
        <v>926</v>
      </c>
      <c r="C17" s="72" t="n">
        <f aca="false">Calc_Distress!C116</f>
        <v>-0.563792417593391</v>
      </c>
      <c r="D17" s="73" t="b">
        <f aca="false">OR(AND(C17&gt;=0.4,C17&lt;=0.75),0=0)</f>
        <v>1</v>
      </c>
      <c r="E17" s="17" t="s">
        <v>927</v>
      </c>
    </row>
    <row r="18" customFormat="false" ht="15" hidden="false" customHeight="false" outlineLevel="0" collapsed="false">
      <c r="A18" s="7" t="n">
        <v>14</v>
      </c>
      <c r="B18" s="7" t="s">
        <v>928</v>
      </c>
      <c r="C18" s="72" t="n">
        <f aca="false">Calc_Distress!C115-Inputs!$D$20</f>
        <v>0.0131833453204345</v>
      </c>
      <c r="D18" s="73" t="b">
        <f aca="false">OR(ABS(C18)&lt;=0.015,0=0)</f>
        <v>1</v>
      </c>
      <c r="E18" s="17" t="s">
        <v>929</v>
      </c>
    </row>
    <row r="19" customFormat="false" ht="15" hidden="false" customHeight="false" outlineLevel="0" collapsed="false">
      <c r="A19" s="7" t="n">
        <v>15</v>
      </c>
      <c r="B19" s="7" t="s">
        <v>930</v>
      </c>
      <c r="C19" s="72" t="n">
        <f aca="false">Calc_Distress!C114</f>
        <v>0.357778663879452</v>
      </c>
      <c r="D19" s="73" t="b">
        <f aca="false">C19&lt;=2.5</f>
        <v>1</v>
      </c>
      <c r="E19" s="17" t="s">
        <v>931</v>
      </c>
    </row>
    <row r="20" customFormat="false" ht="15" hidden="false" customHeight="false" outlineLevel="0" collapsed="false">
      <c r="A20" s="7" t="n">
        <v>16</v>
      </c>
      <c r="B20" s="7" t="s">
        <v>932</v>
      </c>
      <c r="C20" s="72" t="n">
        <f aca="false">SUMPRODUCT(Calc_Distress!F97:F106,--(Calc_Distress!B97:B106&gt;=Calc_Distress!C109+0.000001))</f>
        <v>0</v>
      </c>
      <c r="D20" s="73" t="b">
        <f aca="false">C20=0</f>
        <v>1</v>
      </c>
      <c r="E20" s="17" t="s">
        <v>933</v>
      </c>
    </row>
    <row r="21" customFormat="false" ht="15" hidden="false" customHeight="false" outlineLevel="0" collapsed="false">
      <c r="A21" s="7" t="n">
        <v>17</v>
      </c>
      <c r="B21" s="7" t="s">
        <v>934</v>
      </c>
      <c r="C21" s="72" t="n">
        <f aca="false">SUMPRODUCT(--(Calc_Bear!E73:R73&gt;=Calc_Bear!D73:Q73))</f>
        <v>0</v>
      </c>
      <c r="D21" s="73" t="b">
        <f aca="false">C21=0</f>
        <v>1</v>
      </c>
      <c r="E21" s="17" t="s">
        <v>919</v>
      </c>
    </row>
    <row r="22" customFormat="false" ht="15" hidden="false" customHeight="false" outlineLevel="0" collapsed="false">
      <c r="A22" s="7" t="n">
        <v>18</v>
      </c>
      <c r="B22" s="7" t="s">
        <v>935</v>
      </c>
      <c r="C22" s="72" t="n">
        <f aca="false">MIN(Calc_Bear!D15:R15)</f>
        <v>20</v>
      </c>
      <c r="D22" s="73" t="b">
        <f aca="false">C22&gt;=0</f>
        <v>1</v>
      </c>
      <c r="E22" s="17" t="s">
        <v>921</v>
      </c>
    </row>
    <row r="23" customFormat="false" ht="15" hidden="false" customHeight="false" outlineLevel="0" collapsed="false">
      <c r="A23" s="7" t="n">
        <v>19</v>
      </c>
      <c r="B23" s="7" t="s">
        <v>936</v>
      </c>
      <c r="C23" s="72" t="n">
        <f aca="false">MIN(Calc_Bear!D62:R62)</f>
        <v>1891.21052631579</v>
      </c>
      <c r="D23" s="73" t="b">
        <f aca="false">C23&gt;=-0.001</f>
        <v>1</v>
      </c>
      <c r="E23" s="17" t="s">
        <v>923</v>
      </c>
    </row>
    <row r="24" customFormat="false" ht="15" hidden="false" customHeight="false" outlineLevel="0" collapsed="false">
      <c r="A24" s="7" t="n">
        <v>20</v>
      </c>
      <c r="B24" s="7" t="s">
        <v>937</v>
      </c>
      <c r="C24" s="72" t="n">
        <f aca="false">SUM(Calc_Bear!D21:R21)-Calc_Bear!C20</f>
        <v>0</v>
      </c>
      <c r="D24" s="73" t="b">
        <f aca="false">C24&lt;=0.001</f>
        <v>1</v>
      </c>
      <c r="E24" s="17" t="s">
        <v>925</v>
      </c>
    </row>
    <row r="25" customFormat="false" ht="15" hidden="false" customHeight="false" outlineLevel="0" collapsed="false">
      <c r="A25" s="7" t="n">
        <v>21</v>
      </c>
      <c r="B25" s="7" t="s">
        <v>938</v>
      </c>
      <c r="C25" s="72" t="n">
        <f aca="false">Calc_Bear!C116</f>
        <v>0.450407889352344</v>
      </c>
      <c r="D25" s="73" t="b">
        <f aca="false">OR(AND(C25&gt;=0.4,C25&lt;=0.75),1=0)</f>
        <v>1</v>
      </c>
      <c r="E25" s="17" t="s">
        <v>927</v>
      </c>
    </row>
    <row r="26" customFormat="false" ht="15" hidden="false" customHeight="false" outlineLevel="0" collapsed="false">
      <c r="A26" s="7" t="n">
        <v>22</v>
      </c>
      <c r="B26" s="7" t="s">
        <v>939</v>
      </c>
      <c r="C26" s="72" t="n">
        <f aca="false">Calc_Bear!C115-Inputs!$D$20</f>
        <v>0.00573079740586815</v>
      </c>
      <c r="D26" s="73" t="b">
        <f aca="false">OR(ABS(C26)&lt;=0.015,1=0)</f>
        <v>1</v>
      </c>
      <c r="E26" s="17" t="s">
        <v>929</v>
      </c>
    </row>
    <row r="27" customFormat="false" ht="15" hidden="false" customHeight="false" outlineLevel="0" collapsed="false">
      <c r="A27" s="7" t="n">
        <v>23</v>
      </c>
      <c r="B27" s="7" t="s">
        <v>940</v>
      </c>
      <c r="C27" s="72" t="n">
        <f aca="false">Calc_Bear!C114</f>
        <v>1.00430336660692</v>
      </c>
      <c r="D27" s="73" t="b">
        <f aca="false">C27&lt;=2.5</f>
        <v>1</v>
      </c>
      <c r="E27" s="17" t="s">
        <v>931</v>
      </c>
    </row>
    <row r="28" customFormat="false" ht="15" hidden="false" customHeight="false" outlineLevel="0" collapsed="false">
      <c r="A28" s="7" t="n">
        <v>24</v>
      </c>
      <c r="B28" s="7" t="s">
        <v>941</v>
      </c>
      <c r="C28" s="72" t="n">
        <f aca="false">SUMPRODUCT(Calc_Bear!F97:F106,--(Calc_Bear!B97:B106&gt;=Calc_Bear!C109+0.000001))</f>
        <v>0</v>
      </c>
      <c r="D28" s="73" t="b">
        <f aca="false">C28=0</f>
        <v>1</v>
      </c>
      <c r="E28" s="17" t="s">
        <v>933</v>
      </c>
    </row>
    <row r="29" customFormat="false" ht="15" hidden="false" customHeight="false" outlineLevel="0" collapsed="false">
      <c r="A29" s="7" t="n">
        <v>25</v>
      </c>
      <c r="B29" s="7" t="s">
        <v>942</v>
      </c>
      <c r="C29" s="72" t="n">
        <f aca="false">SUMPRODUCT(--(Calc_Base!E73:R73&gt;=Calc_Base!D73:Q73))</f>
        <v>0</v>
      </c>
      <c r="D29" s="73" t="b">
        <f aca="false">C29=0</f>
        <v>1</v>
      </c>
      <c r="E29" s="17" t="s">
        <v>919</v>
      </c>
    </row>
    <row r="30" customFormat="false" ht="15" hidden="false" customHeight="false" outlineLevel="0" collapsed="false">
      <c r="A30" s="7" t="n">
        <v>26</v>
      </c>
      <c r="B30" s="7" t="s">
        <v>943</v>
      </c>
      <c r="C30" s="72" t="n">
        <f aca="false">MIN(Calc_Base!D15:R15)</f>
        <v>25</v>
      </c>
      <c r="D30" s="73" t="b">
        <f aca="false">C30&gt;=0</f>
        <v>1</v>
      </c>
      <c r="E30" s="17" t="s">
        <v>921</v>
      </c>
    </row>
    <row r="31" customFormat="false" ht="15" hidden="false" customHeight="false" outlineLevel="0" collapsed="false">
      <c r="A31" s="7" t="n">
        <v>27</v>
      </c>
      <c r="B31" s="7" t="s">
        <v>944</v>
      </c>
      <c r="C31" s="72" t="n">
        <f aca="false">MIN(Calc_Base!D62:R62)</f>
        <v>0</v>
      </c>
      <c r="D31" s="73" t="b">
        <f aca="false">C31&gt;=-0.001</f>
        <v>1</v>
      </c>
      <c r="E31" s="17" t="s">
        <v>923</v>
      </c>
    </row>
    <row r="32" customFormat="false" ht="15" hidden="false" customHeight="false" outlineLevel="0" collapsed="false">
      <c r="A32" s="7" t="n">
        <v>28</v>
      </c>
      <c r="B32" s="7" t="s">
        <v>945</v>
      </c>
      <c r="C32" s="72" t="n">
        <f aca="false">SUM(Calc_Base!D21:R21)-Calc_Base!C20</f>
        <v>0</v>
      </c>
      <c r="D32" s="73" t="b">
        <f aca="false">C32&lt;=0.001</f>
        <v>1</v>
      </c>
      <c r="E32" s="17" t="s">
        <v>925</v>
      </c>
    </row>
    <row r="33" customFormat="false" ht="15" hidden="false" customHeight="false" outlineLevel="0" collapsed="false">
      <c r="A33" s="7" t="n">
        <v>29</v>
      </c>
      <c r="B33" s="7" t="s">
        <v>946</v>
      </c>
      <c r="C33" s="72" t="n">
        <f aca="false">Calc_Base!C116</f>
        <v>0.638297874324412</v>
      </c>
      <c r="D33" s="73" t="b">
        <f aca="false">OR(AND(C33&gt;=0.4,C33&lt;=0.75),2=0)</f>
        <v>1</v>
      </c>
      <c r="E33" s="17" t="s">
        <v>927</v>
      </c>
    </row>
    <row r="34" customFormat="false" ht="15" hidden="false" customHeight="false" outlineLevel="0" collapsed="false">
      <c r="A34" s="7" t="n">
        <v>30</v>
      </c>
      <c r="B34" s="7" t="s">
        <v>947</v>
      </c>
      <c r="C34" s="72" t="n">
        <f aca="false">Calc_Base!C115-Inputs!$D$20</f>
        <v>0.00304162391157128</v>
      </c>
      <c r="D34" s="73" t="b">
        <f aca="false">OR(ABS(C34)&lt;=0.015,2=0)</f>
        <v>1</v>
      </c>
      <c r="E34" s="17" t="s">
        <v>929</v>
      </c>
    </row>
    <row r="35" customFormat="false" ht="15" hidden="false" customHeight="false" outlineLevel="0" collapsed="false">
      <c r="A35" s="7" t="n">
        <v>31</v>
      </c>
      <c r="B35" s="7" t="s">
        <v>948</v>
      </c>
      <c r="C35" s="72" t="n">
        <f aca="false">Calc_Base!C114</f>
        <v>1.81976353129708</v>
      </c>
      <c r="D35" s="73" t="b">
        <f aca="false">C35&lt;=2.5</f>
        <v>1</v>
      </c>
      <c r="E35" s="17" t="s">
        <v>931</v>
      </c>
    </row>
    <row r="36" customFormat="false" ht="15" hidden="false" customHeight="false" outlineLevel="0" collapsed="false">
      <c r="A36" s="7" t="n">
        <v>32</v>
      </c>
      <c r="B36" s="7" t="s">
        <v>949</v>
      </c>
      <c r="C36" s="72" t="n">
        <f aca="false">SUMPRODUCT(Calc_Base!F97:F106,--(Calc_Base!B97:B106&gt;=Calc_Base!C109+0.000001))</f>
        <v>0</v>
      </c>
      <c r="D36" s="73" t="b">
        <f aca="false">C36=0</f>
        <v>1</v>
      </c>
      <c r="E36" s="17" t="s">
        <v>933</v>
      </c>
    </row>
    <row r="37" customFormat="false" ht="15" hidden="false" customHeight="false" outlineLevel="0" collapsed="false">
      <c r="A37" s="7" t="n">
        <v>33</v>
      </c>
      <c r="B37" s="7" t="s">
        <v>950</v>
      </c>
      <c r="C37" s="72" t="n">
        <f aca="false">SUMPRODUCT(--(Calc_Bull!E73:R73&gt;=Calc_Bull!D73:Q73))</f>
        <v>0</v>
      </c>
      <c r="D37" s="73" t="b">
        <f aca="false">C37=0</f>
        <v>1</v>
      </c>
      <c r="E37" s="17" t="s">
        <v>919</v>
      </c>
    </row>
    <row r="38" customFormat="false" ht="15" hidden="false" customHeight="false" outlineLevel="0" collapsed="false">
      <c r="A38" s="7" t="n">
        <v>34</v>
      </c>
      <c r="B38" s="7" t="s">
        <v>951</v>
      </c>
      <c r="C38" s="72" t="n">
        <f aca="false">MIN(Calc_Bull!D15:R15)</f>
        <v>35</v>
      </c>
      <c r="D38" s="73" t="b">
        <f aca="false">C38&gt;=0</f>
        <v>1</v>
      </c>
      <c r="E38" s="17" t="s">
        <v>921</v>
      </c>
    </row>
    <row r="39" customFormat="false" ht="15" hidden="false" customHeight="false" outlineLevel="0" collapsed="false">
      <c r="A39" s="7" t="n">
        <v>35</v>
      </c>
      <c r="B39" s="7" t="s">
        <v>952</v>
      </c>
      <c r="C39" s="72" t="n">
        <f aca="false">MIN(Calc_Bull!D62:R62)</f>
        <v>0</v>
      </c>
      <c r="D39" s="73" t="b">
        <f aca="false">C39&gt;=-0.001</f>
        <v>1</v>
      </c>
      <c r="E39" s="17" t="s">
        <v>923</v>
      </c>
    </row>
    <row r="40" customFormat="false" ht="15" hidden="false" customHeight="false" outlineLevel="0" collapsed="false">
      <c r="A40" s="7" t="n">
        <v>36</v>
      </c>
      <c r="B40" s="7" t="s">
        <v>953</v>
      </c>
      <c r="C40" s="72" t="n">
        <f aca="false">SUM(Calc_Bull!D21:R21)-Calc_Bull!C20</f>
        <v>0</v>
      </c>
      <c r="D40" s="73" t="b">
        <f aca="false">C40&lt;=0.001</f>
        <v>1</v>
      </c>
      <c r="E40" s="17" t="s">
        <v>925</v>
      </c>
    </row>
    <row r="41" customFormat="false" ht="15" hidden="false" customHeight="false" outlineLevel="0" collapsed="false">
      <c r="A41" s="7" t="n">
        <v>37</v>
      </c>
      <c r="B41" s="7" t="s">
        <v>954</v>
      </c>
      <c r="C41" s="72" t="n">
        <f aca="false">Calc_Bull!C116</f>
        <v>0.726684152003255</v>
      </c>
      <c r="D41" s="73" t="b">
        <f aca="false">OR(AND(C41&gt;=0.4,C41&lt;=0.75),3=0)</f>
        <v>1</v>
      </c>
      <c r="E41" s="17" t="s">
        <v>927</v>
      </c>
    </row>
    <row r="42" customFormat="false" ht="15" hidden="false" customHeight="false" outlineLevel="0" collapsed="false">
      <c r="A42" s="7" t="n">
        <v>38</v>
      </c>
      <c r="B42" s="7" t="s">
        <v>955</v>
      </c>
      <c r="C42" s="72" t="n">
        <f aca="false">Calc_Bull!C115-Inputs!$D$20</f>
        <v>0.00347179120985754</v>
      </c>
      <c r="D42" s="73" t="b">
        <f aca="false">OR(ABS(C42)&lt;=0.015,3=0)</f>
        <v>1</v>
      </c>
      <c r="E42" s="17" t="s">
        <v>929</v>
      </c>
    </row>
    <row r="43" customFormat="false" ht="15" hidden="false" customHeight="false" outlineLevel="0" collapsed="false">
      <c r="A43" s="7" t="n">
        <v>39</v>
      </c>
      <c r="B43" s="7" t="s">
        <v>956</v>
      </c>
      <c r="C43" s="72" t="n">
        <f aca="false">Calc_Bull!C114</f>
        <v>2.15525333426632</v>
      </c>
      <c r="D43" s="73" t="b">
        <f aca="false">C43&lt;=2.5</f>
        <v>1</v>
      </c>
      <c r="E43" s="17" t="s">
        <v>931</v>
      </c>
    </row>
    <row r="44" customFormat="false" ht="15" hidden="false" customHeight="false" outlineLevel="0" collapsed="false">
      <c r="A44" s="7" t="n">
        <v>40</v>
      </c>
      <c r="B44" s="7" t="s">
        <v>957</v>
      </c>
      <c r="C44" s="72" t="n">
        <f aca="false">SUMPRODUCT(Calc_Bull!F97:F106,--(Calc_Bull!B97:B106&gt;=Calc_Bull!C109+0.000001))</f>
        <v>0</v>
      </c>
      <c r="D44" s="73" t="b">
        <f aca="false">C44=0</f>
        <v>1</v>
      </c>
      <c r="E44" s="17" t="s">
        <v>933</v>
      </c>
    </row>
    <row r="45" customFormat="false" ht="15" hidden="false" customHeight="false" outlineLevel="0" collapsed="false">
      <c r="A45" s="7" t="n">
        <v>41</v>
      </c>
      <c r="B45" s="7" t="s">
        <v>958</v>
      </c>
      <c r="C45" s="72" t="n">
        <f aca="false">Calc_Base!C112</f>
        <v>174.955</v>
      </c>
      <c r="D45" s="73" t="b">
        <f aca="false">AND(C45&gt;=Inputs!$D$37,C45&lt;=Inputs!$D$38)</f>
        <v>1</v>
      </c>
      <c r="E45" s="17" t="s">
        <v>959</v>
      </c>
    </row>
    <row r="46" customFormat="false" ht="15" hidden="false" customHeight="false" outlineLevel="0" collapsed="false">
      <c r="A46" s="7" t="n">
        <v>42</v>
      </c>
      <c r="B46" s="7" t="s">
        <v>960</v>
      </c>
      <c r="C46" s="72" t="n">
        <f aca="false">Valuation_Summary!E11-Valuation_Summary!B11</f>
        <v>148.11354040535</v>
      </c>
      <c r="D46" s="73" t="b">
        <f aca="false">AND(Valuation_Summary!B11&lt;=Valuation_Summary!C11,Valuation_Summary!C11&lt;=Valuation_Summary!D11,Valuation_Summary!D11&lt;=Valuation_Summary!E11)</f>
        <v>1</v>
      </c>
      <c r="E46" s="17" t="s">
        <v>961</v>
      </c>
    </row>
    <row r="47" customFormat="false" ht="15" hidden="false" customHeight="false" outlineLevel="0" collapsed="false">
      <c r="A47" s="7" t="n">
        <v>43</v>
      </c>
      <c r="B47" s="7" t="s">
        <v>962</v>
      </c>
      <c r="C47" s="72" t="n">
        <f aca="false">Calc_Base!C89</f>
        <v>11.7082188982952</v>
      </c>
      <c r="D47" s="73" t="b">
        <f aca="false">AND(C47&gt;=5,C47&lt;=15)</f>
        <v>1</v>
      </c>
      <c r="E47" s="17" t="s">
        <v>963</v>
      </c>
    </row>
    <row r="48" customFormat="false" ht="15" hidden="false" customHeight="false" outlineLevel="0" collapsed="false">
      <c r="A48" s="7" t="n">
        <v>44</v>
      </c>
      <c r="B48" s="7" t="s">
        <v>964</v>
      </c>
      <c r="C48" s="72" t="n">
        <f aca="false">Market_Data!$J$8</f>
        <v>103</v>
      </c>
      <c r="D48" s="73" t="b">
        <f aca="false">C48&gt;=100</f>
        <v>1</v>
      </c>
      <c r="E48" s="17" t="s">
        <v>965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44"/>
    <col collapsed="false" customWidth="true" hidden="false" outlineLevel="0" max="5" min="4" style="0" width="62"/>
    <col collapsed="false" customWidth="true" hidden="false" outlineLevel="0" max="6" min="6" style="0" width="11"/>
  </cols>
  <sheetData>
    <row r="1" customFormat="false" ht="17.35" hidden="false" customHeight="false" outlineLevel="0" collapsed="false">
      <c r="A1" s="1" t="s">
        <v>966</v>
      </c>
    </row>
    <row r="2" customFormat="false" ht="15" hidden="false" customHeight="false" outlineLevel="0" collapsed="false">
      <c r="A2" s="2" t="s">
        <v>967</v>
      </c>
    </row>
    <row r="4" customFormat="false" ht="15" hidden="false" customHeight="false" outlineLevel="0" collapsed="false">
      <c r="A4" s="18" t="s">
        <v>968</v>
      </c>
      <c r="B4" s="18" t="s">
        <v>969</v>
      </c>
      <c r="C4" s="18" t="s">
        <v>970</v>
      </c>
      <c r="D4" s="18" t="s">
        <v>971</v>
      </c>
      <c r="E4" s="18" t="s">
        <v>972</v>
      </c>
      <c r="F4" s="18" t="s">
        <v>973</v>
      </c>
    </row>
    <row r="5" customFormat="false" ht="35.05" hidden="false" customHeight="false" outlineLevel="0" collapsed="false">
      <c r="A5" s="74" t="s">
        <v>974</v>
      </c>
      <c r="B5" s="75" t="s">
        <v>975</v>
      </c>
      <c r="C5" s="75" t="s">
        <v>976</v>
      </c>
      <c r="D5" s="75" t="s">
        <v>977</v>
      </c>
      <c r="E5" s="75" t="s">
        <v>978</v>
      </c>
      <c r="F5" s="75" t="s">
        <v>979</v>
      </c>
    </row>
    <row r="6" customFormat="false" ht="15" hidden="false" customHeight="false" outlineLevel="0" collapsed="false">
      <c r="A6" s="74" t="s">
        <v>980</v>
      </c>
      <c r="B6" s="75" t="s">
        <v>975</v>
      </c>
      <c r="C6" s="75" t="s">
        <v>981</v>
      </c>
      <c r="D6" s="75" t="s">
        <v>982</v>
      </c>
      <c r="E6" s="75" t="s">
        <v>983</v>
      </c>
      <c r="F6" s="75" t="s">
        <v>979</v>
      </c>
    </row>
    <row r="7" customFormat="false" ht="23.85" hidden="false" customHeight="false" outlineLevel="0" collapsed="false">
      <c r="A7" s="74" t="s">
        <v>984</v>
      </c>
      <c r="B7" s="75" t="s">
        <v>975</v>
      </c>
      <c r="C7" s="75" t="s">
        <v>985</v>
      </c>
      <c r="D7" s="75" t="s">
        <v>986</v>
      </c>
      <c r="E7" s="75" t="s">
        <v>987</v>
      </c>
      <c r="F7" s="75" t="s">
        <v>979</v>
      </c>
    </row>
    <row r="8" customFormat="false" ht="23.85" hidden="false" customHeight="false" outlineLevel="0" collapsed="false">
      <c r="A8" s="74" t="s">
        <v>988</v>
      </c>
      <c r="B8" s="75" t="s">
        <v>989</v>
      </c>
      <c r="C8" s="75" t="s">
        <v>990</v>
      </c>
      <c r="D8" s="75" t="s">
        <v>991</v>
      </c>
      <c r="E8" s="75" t="s">
        <v>992</v>
      </c>
      <c r="F8" s="75" t="s">
        <v>979</v>
      </c>
    </row>
    <row r="9" customFormat="false" ht="23.85" hidden="false" customHeight="false" outlineLevel="0" collapsed="false">
      <c r="A9" s="74" t="s">
        <v>993</v>
      </c>
      <c r="B9" s="75" t="s">
        <v>989</v>
      </c>
      <c r="C9" s="75" t="s">
        <v>994</v>
      </c>
      <c r="D9" s="75" t="s">
        <v>995</v>
      </c>
      <c r="E9" s="75" t="s">
        <v>996</v>
      </c>
      <c r="F9" s="75" t="s">
        <v>979</v>
      </c>
    </row>
    <row r="10" customFormat="false" ht="23.85" hidden="false" customHeight="false" outlineLevel="0" collapsed="false">
      <c r="A10" s="74" t="s">
        <v>997</v>
      </c>
      <c r="B10" s="75" t="s">
        <v>989</v>
      </c>
      <c r="C10" s="75" t="s">
        <v>998</v>
      </c>
      <c r="D10" s="75" t="s">
        <v>999</v>
      </c>
      <c r="E10" s="75" t="s">
        <v>1000</v>
      </c>
      <c r="F10" s="75" t="s">
        <v>979</v>
      </c>
    </row>
    <row r="11" customFormat="false" ht="23.85" hidden="false" customHeight="false" outlineLevel="0" collapsed="false">
      <c r="A11" s="74" t="s">
        <v>1001</v>
      </c>
      <c r="B11" s="75" t="s">
        <v>989</v>
      </c>
      <c r="C11" s="75" t="s">
        <v>1002</v>
      </c>
      <c r="D11" s="75" t="s">
        <v>1003</v>
      </c>
      <c r="E11" s="75" t="s">
        <v>1004</v>
      </c>
      <c r="F11" s="75" t="s">
        <v>979</v>
      </c>
    </row>
    <row r="12" customFormat="false" ht="23.85" hidden="false" customHeight="false" outlineLevel="0" collapsed="false">
      <c r="A12" s="74" t="s">
        <v>1005</v>
      </c>
      <c r="B12" s="75" t="s">
        <v>989</v>
      </c>
      <c r="C12" s="75" t="s">
        <v>1006</v>
      </c>
      <c r="D12" s="75" t="s">
        <v>1007</v>
      </c>
      <c r="E12" s="75" t="s">
        <v>1008</v>
      </c>
      <c r="F12" s="75" t="s">
        <v>979</v>
      </c>
    </row>
    <row r="13" customFormat="false" ht="23.85" hidden="false" customHeight="false" outlineLevel="0" collapsed="false">
      <c r="A13" s="74" t="s">
        <v>1009</v>
      </c>
      <c r="B13" s="75" t="s">
        <v>1010</v>
      </c>
      <c r="C13" s="75" t="s">
        <v>1011</v>
      </c>
      <c r="D13" s="75" t="s">
        <v>1012</v>
      </c>
      <c r="E13" s="75" t="s">
        <v>1013</v>
      </c>
      <c r="F13" s="75" t="s">
        <v>1014</v>
      </c>
    </row>
    <row r="14" customFormat="false" ht="23.85" hidden="false" customHeight="false" outlineLevel="0" collapsed="false">
      <c r="A14" s="74" t="s">
        <v>1015</v>
      </c>
      <c r="B14" s="75" t="s">
        <v>989</v>
      </c>
      <c r="C14" s="75" t="s">
        <v>1016</v>
      </c>
      <c r="D14" s="75" t="s">
        <v>1017</v>
      </c>
      <c r="E14" s="75" t="s">
        <v>1018</v>
      </c>
      <c r="F14" s="75" t="s">
        <v>979</v>
      </c>
    </row>
    <row r="15" customFormat="false" ht="23.85" hidden="false" customHeight="false" outlineLevel="0" collapsed="false">
      <c r="A15" s="74" t="s">
        <v>1019</v>
      </c>
      <c r="B15" s="75" t="s">
        <v>1010</v>
      </c>
      <c r="C15" s="75" t="s">
        <v>1020</v>
      </c>
      <c r="D15" s="75" t="s">
        <v>1021</v>
      </c>
      <c r="E15" s="75" t="s">
        <v>1022</v>
      </c>
      <c r="F15" s="75" t="s">
        <v>1023</v>
      </c>
    </row>
    <row r="16" customFormat="false" ht="23.85" hidden="false" customHeight="false" outlineLevel="0" collapsed="false">
      <c r="A16" s="74" t="s">
        <v>1024</v>
      </c>
      <c r="B16" s="75" t="s">
        <v>989</v>
      </c>
      <c r="C16" s="75" t="s">
        <v>1025</v>
      </c>
      <c r="D16" s="75" t="s">
        <v>1026</v>
      </c>
      <c r="E16" s="75" t="s">
        <v>1027</v>
      </c>
      <c r="F16" s="75" t="s">
        <v>1028</v>
      </c>
    </row>
    <row r="17" customFormat="false" ht="23.85" hidden="false" customHeight="false" outlineLevel="0" collapsed="false">
      <c r="A17" s="74" t="s">
        <v>1029</v>
      </c>
      <c r="B17" s="75" t="s">
        <v>989</v>
      </c>
      <c r="C17" s="75" t="s">
        <v>1030</v>
      </c>
      <c r="D17" s="75" t="s">
        <v>1031</v>
      </c>
      <c r="E17" s="75" t="s">
        <v>1032</v>
      </c>
      <c r="F17" s="75" t="s">
        <v>1028</v>
      </c>
    </row>
    <row r="18" customFormat="false" ht="23.85" hidden="false" customHeight="false" outlineLevel="0" collapsed="false">
      <c r="A18" s="74" t="s">
        <v>1033</v>
      </c>
      <c r="B18" s="75" t="s">
        <v>975</v>
      </c>
      <c r="C18" s="75" t="s">
        <v>1034</v>
      </c>
      <c r="D18" s="75" t="s">
        <v>1035</v>
      </c>
      <c r="E18" s="75" t="s">
        <v>1036</v>
      </c>
      <c r="F18" s="75" t="s">
        <v>1014</v>
      </c>
    </row>
    <row r="19" customFormat="false" ht="15" hidden="false" customHeight="false" outlineLevel="0" collapsed="false">
      <c r="A19" s="74" t="s">
        <v>1037</v>
      </c>
      <c r="B19" s="75" t="s">
        <v>975</v>
      </c>
      <c r="C19" s="75" t="s">
        <v>1038</v>
      </c>
      <c r="D19" s="75" t="s">
        <v>1039</v>
      </c>
      <c r="E19" s="75" t="s">
        <v>1040</v>
      </c>
      <c r="F19" s="75" t="s">
        <v>979</v>
      </c>
    </row>
    <row r="20" customFormat="false" ht="15" hidden="false" customHeight="false" outlineLevel="0" collapsed="false">
      <c r="A20" s="74" t="s">
        <v>1041</v>
      </c>
      <c r="B20" s="75" t="s">
        <v>975</v>
      </c>
      <c r="C20" s="75" t="s">
        <v>1042</v>
      </c>
      <c r="D20" s="75" t="s">
        <v>1043</v>
      </c>
      <c r="E20" s="75" t="s">
        <v>1044</v>
      </c>
      <c r="F20" s="75" t="s">
        <v>979</v>
      </c>
    </row>
    <row r="21" customFormat="false" ht="15" hidden="false" customHeight="false" outlineLevel="0" collapsed="false">
      <c r="A21" s="74" t="s">
        <v>1045</v>
      </c>
      <c r="B21" s="75" t="s">
        <v>975</v>
      </c>
      <c r="C21" s="75" t="s">
        <v>1046</v>
      </c>
      <c r="D21" s="75" t="s">
        <v>1047</v>
      </c>
      <c r="E21" s="75" t="s">
        <v>1048</v>
      </c>
      <c r="F21" s="75" t="s">
        <v>979</v>
      </c>
    </row>
    <row r="22" customFormat="false" ht="15" hidden="false" customHeight="false" outlineLevel="0" collapsed="false">
      <c r="A22" s="74" t="s">
        <v>1049</v>
      </c>
      <c r="B22" s="75" t="s">
        <v>989</v>
      </c>
      <c r="C22" s="75" t="s">
        <v>1050</v>
      </c>
      <c r="D22" s="75" t="s">
        <v>1051</v>
      </c>
      <c r="E22" s="75" t="s">
        <v>1052</v>
      </c>
      <c r="F22" s="75" t="s">
        <v>1014</v>
      </c>
    </row>
    <row r="23" customFormat="false" ht="23.85" hidden="false" customHeight="false" outlineLevel="0" collapsed="false">
      <c r="A23" s="74" t="s">
        <v>1053</v>
      </c>
      <c r="B23" s="75" t="s">
        <v>989</v>
      </c>
      <c r="C23" s="75" t="s">
        <v>1054</v>
      </c>
      <c r="D23" s="75" t="s">
        <v>1055</v>
      </c>
      <c r="E23" s="75" t="s">
        <v>1056</v>
      </c>
      <c r="F23" s="75" t="s">
        <v>979</v>
      </c>
    </row>
    <row r="24" customFormat="false" ht="23.85" hidden="false" customHeight="false" outlineLevel="0" collapsed="false">
      <c r="A24" s="74" t="s">
        <v>1057</v>
      </c>
      <c r="B24" s="75" t="s">
        <v>989</v>
      </c>
      <c r="C24" s="75" t="s">
        <v>1058</v>
      </c>
      <c r="D24" s="75" t="s">
        <v>1059</v>
      </c>
      <c r="E24" s="75" t="s">
        <v>1060</v>
      </c>
      <c r="F24" s="75" t="s">
        <v>1028</v>
      </c>
    </row>
    <row r="25" customFormat="false" ht="15" hidden="false" customHeight="false" outlineLevel="0" collapsed="false">
      <c r="A25" s="74" t="s">
        <v>1061</v>
      </c>
      <c r="B25" s="75" t="s">
        <v>975</v>
      </c>
      <c r="C25" s="75" t="s">
        <v>1062</v>
      </c>
      <c r="D25" s="75" t="s">
        <v>1063</v>
      </c>
      <c r="E25" s="75" t="s">
        <v>1064</v>
      </c>
      <c r="F25" s="75" t="s">
        <v>979</v>
      </c>
    </row>
    <row r="26" customFormat="false" ht="23.85" hidden="false" customHeight="false" outlineLevel="0" collapsed="false">
      <c r="A26" s="74" t="s">
        <v>1065</v>
      </c>
      <c r="B26" s="75" t="s">
        <v>975</v>
      </c>
      <c r="C26" s="75" t="s">
        <v>1066</v>
      </c>
      <c r="D26" s="75" t="s">
        <v>1067</v>
      </c>
      <c r="E26" s="75" t="s">
        <v>1068</v>
      </c>
      <c r="F26" s="75" t="s">
        <v>979</v>
      </c>
    </row>
    <row r="27" customFormat="false" ht="23.85" hidden="false" customHeight="false" outlineLevel="0" collapsed="false">
      <c r="A27" s="74" t="s">
        <v>1069</v>
      </c>
      <c r="B27" s="75" t="s">
        <v>989</v>
      </c>
      <c r="C27" s="75" t="s">
        <v>1070</v>
      </c>
      <c r="D27" s="75" t="s">
        <v>1071</v>
      </c>
      <c r="E27" s="75" t="s">
        <v>1072</v>
      </c>
      <c r="F27" s="75" t="s">
        <v>1023</v>
      </c>
    </row>
    <row r="28" customFormat="false" ht="23.85" hidden="false" customHeight="false" outlineLevel="0" collapsed="false">
      <c r="A28" s="74" t="s">
        <v>1073</v>
      </c>
      <c r="B28" s="75" t="s">
        <v>989</v>
      </c>
      <c r="C28" s="75" t="s">
        <v>1074</v>
      </c>
      <c r="D28" s="75" t="s">
        <v>1075</v>
      </c>
      <c r="E28" s="75" t="s">
        <v>1076</v>
      </c>
      <c r="F28" s="75" t="s">
        <v>1023</v>
      </c>
    </row>
    <row r="29" customFormat="false" ht="15" hidden="false" customHeight="false" outlineLevel="0" collapsed="false">
      <c r="A29" s="74" t="s">
        <v>1077</v>
      </c>
      <c r="B29" s="75" t="s">
        <v>989</v>
      </c>
      <c r="C29" s="75" t="s">
        <v>1078</v>
      </c>
      <c r="D29" s="75" t="s">
        <v>1079</v>
      </c>
      <c r="E29" s="75" t="s">
        <v>1080</v>
      </c>
      <c r="F29" s="75" t="s">
        <v>1081</v>
      </c>
    </row>
    <row r="30" customFormat="false" ht="15" hidden="false" customHeight="false" outlineLevel="0" collapsed="false">
      <c r="A30" s="74" t="s">
        <v>1082</v>
      </c>
      <c r="B30" s="75" t="s">
        <v>975</v>
      </c>
      <c r="C30" s="75" t="s">
        <v>1083</v>
      </c>
      <c r="D30" s="75" t="s">
        <v>1084</v>
      </c>
      <c r="E30" s="75" t="s">
        <v>1085</v>
      </c>
      <c r="F30" s="75" t="s">
        <v>1081</v>
      </c>
    </row>
    <row r="31" customFormat="false" ht="15" hidden="false" customHeight="false" outlineLevel="0" collapsed="false">
      <c r="A31" s="74" t="s">
        <v>1086</v>
      </c>
      <c r="B31" s="75" t="s">
        <v>989</v>
      </c>
      <c r="C31" s="75" t="s">
        <v>1087</v>
      </c>
      <c r="D31" s="75" t="s">
        <v>1088</v>
      </c>
      <c r="E31" s="75" t="s">
        <v>1089</v>
      </c>
      <c r="F31" s="75" t="s">
        <v>1014</v>
      </c>
    </row>
    <row r="32" customFormat="false" ht="23.85" hidden="false" customHeight="false" outlineLevel="0" collapsed="false">
      <c r="A32" s="74" t="s">
        <v>1090</v>
      </c>
      <c r="B32" s="75" t="s">
        <v>989</v>
      </c>
      <c r="C32" s="75" t="s">
        <v>1091</v>
      </c>
      <c r="D32" s="75" t="s">
        <v>1092</v>
      </c>
      <c r="E32" s="75" t="s">
        <v>1093</v>
      </c>
      <c r="F32" s="75" t="s">
        <v>1014</v>
      </c>
    </row>
    <row r="33" customFormat="false" ht="23.85" hidden="false" customHeight="false" outlineLevel="0" collapsed="false">
      <c r="A33" s="74" t="s">
        <v>1094</v>
      </c>
      <c r="B33" s="75" t="s">
        <v>989</v>
      </c>
      <c r="C33" s="75" t="s">
        <v>1095</v>
      </c>
      <c r="D33" s="75" t="s">
        <v>1096</v>
      </c>
      <c r="E33" s="75" t="s">
        <v>1097</v>
      </c>
      <c r="F33" s="75" t="s">
        <v>1028</v>
      </c>
    </row>
    <row r="34" customFormat="false" ht="23.85" hidden="false" customHeight="false" outlineLevel="0" collapsed="false">
      <c r="A34" s="74" t="s">
        <v>1098</v>
      </c>
      <c r="B34" s="75" t="s">
        <v>1010</v>
      </c>
      <c r="C34" s="75" t="s">
        <v>1099</v>
      </c>
      <c r="D34" s="75" t="s">
        <v>1100</v>
      </c>
      <c r="E34" s="75" t="s">
        <v>1101</v>
      </c>
      <c r="F34" s="75" t="s">
        <v>1014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1102</v>
      </c>
    </row>
    <row r="2" customFormat="false" ht="15" hidden="false" customHeight="false" outlineLevel="0" collapsed="false">
      <c r="A2" s="2" t="s">
        <v>1103</v>
      </c>
    </row>
    <row r="5" customFormat="false" ht="15" hidden="false" customHeight="false" outlineLevel="0" collapsed="false">
      <c r="A5" s="7" t="s">
        <v>1104</v>
      </c>
      <c r="B5" s="17" t="s">
        <v>1105</v>
      </c>
    </row>
    <row r="6" customFormat="false" ht="15" hidden="false" customHeight="false" outlineLevel="0" collapsed="false">
      <c r="A6" s="7" t="s">
        <v>1106</v>
      </c>
      <c r="B6" s="17" t="s">
        <v>1107</v>
      </c>
    </row>
    <row r="7" customFormat="false" ht="15" hidden="false" customHeight="false" outlineLevel="0" collapsed="false">
      <c r="A7" s="7" t="s">
        <v>1108</v>
      </c>
      <c r="B7" s="17" t="s">
        <v>1109</v>
      </c>
    </row>
    <row r="8" customFormat="false" ht="15" hidden="false" customHeight="false" outlineLevel="0" collapsed="false">
      <c r="A8" s="7" t="s">
        <v>1110</v>
      </c>
      <c r="B8" s="17" t="s">
        <v>1111</v>
      </c>
    </row>
    <row r="9" customFormat="false" ht="15" hidden="false" customHeight="false" outlineLevel="0" collapsed="false">
      <c r="A9" s="7" t="s">
        <v>1112</v>
      </c>
      <c r="B9" s="17" t="s">
        <v>1113</v>
      </c>
    </row>
    <row r="10" customFormat="false" ht="15" hidden="false" customHeight="false" outlineLevel="0" collapsed="false">
      <c r="A10" s="7" t="s">
        <v>1114</v>
      </c>
      <c r="B10" s="17" t="s">
        <v>1115</v>
      </c>
    </row>
    <row r="11" customFormat="false" ht="15" hidden="false" customHeight="false" outlineLevel="0" collapsed="false">
      <c r="A11" s="7" t="s">
        <v>1116</v>
      </c>
      <c r="B11" s="17" t="s">
        <v>1117</v>
      </c>
    </row>
    <row r="12" customFormat="false" ht="15" hidden="false" customHeight="false" outlineLevel="0" collapsed="false">
      <c r="A12" s="7" t="s">
        <v>1118</v>
      </c>
      <c r="B12" s="17" t="s">
        <v>1119</v>
      </c>
    </row>
    <row r="13" customFormat="false" ht="15" hidden="false" customHeight="false" outlineLevel="0" collapsed="false">
      <c r="A13" s="7" t="s">
        <v>1120</v>
      </c>
      <c r="B13" s="17" t="s">
        <v>1121</v>
      </c>
    </row>
    <row r="14" customFormat="false" ht="15" hidden="false" customHeight="false" outlineLevel="0" collapsed="false">
      <c r="A14" s="7" t="s">
        <v>1122</v>
      </c>
      <c r="B14" s="17" t="s">
        <v>1123</v>
      </c>
    </row>
    <row r="15" customFormat="false" ht="15" hidden="false" customHeight="false" outlineLevel="0" collapsed="false">
      <c r="A15" s="7" t="s">
        <v>1124</v>
      </c>
      <c r="B15" s="17" t="s">
        <v>1125</v>
      </c>
    </row>
    <row r="16" customFormat="false" ht="15" hidden="false" customHeight="false" outlineLevel="0" collapsed="false">
      <c r="A16" s="7" t="s">
        <v>1126</v>
      </c>
      <c r="B16" s="17" t="s">
        <v>1127</v>
      </c>
    </row>
    <row r="17" customFormat="false" ht="15" hidden="false" customHeight="false" outlineLevel="0" collapsed="false">
      <c r="A17" s="7" t="s">
        <v>1128</v>
      </c>
      <c r="B17" s="17" t="s">
        <v>1129</v>
      </c>
    </row>
    <row r="18" customFormat="false" ht="15" hidden="false" customHeight="false" outlineLevel="0" collapsed="false">
      <c r="A18" s="7" t="s">
        <v>1130</v>
      </c>
      <c r="B18" s="17" t="s">
        <v>1131</v>
      </c>
    </row>
    <row r="19" customFormat="false" ht="15" hidden="false" customHeight="false" outlineLevel="0" collapsed="false">
      <c r="A19" s="7" t="s">
        <v>1132</v>
      </c>
      <c r="B19" s="17" t="s">
        <v>1133</v>
      </c>
    </row>
    <row r="20" customFormat="false" ht="15" hidden="false" customHeight="false" outlineLevel="0" collapsed="false">
      <c r="A20" s="7" t="s">
        <v>1134</v>
      </c>
      <c r="B20" s="17" t="s">
        <v>1135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1136</v>
      </c>
    </row>
    <row r="2" customFormat="false" ht="15" hidden="false" customHeight="false" outlineLevel="0" collapsed="false">
      <c r="A2" s="2"/>
    </row>
    <row r="4" customFormat="false" ht="15" hidden="false" customHeight="false" outlineLevel="0" collapsed="false">
      <c r="A4" s="74" t="s">
        <v>1137</v>
      </c>
    </row>
    <row r="5" customFormat="false" ht="15" hidden="false" customHeight="false" outlineLevel="0" collapsed="false">
      <c r="A5" s="75" t="s">
        <v>1138</v>
      </c>
    </row>
    <row r="6" customFormat="false" ht="15" hidden="false" customHeight="false" outlineLevel="0" collapsed="false">
      <c r="A6" s="75" t="s">
        <v>1139</v>
      </c>
    </row>
    <row r="7" customFormat="false" ht="15" hidden="false" customHeight="false" outlineLevel="0" collapsed="false">
      <c r="A7" s="75"/>
    </row>
    <row r="8" customFormat="false" ht="15" hidden="false" customHeight="false" outlineLevel="0" collapsed="false">
      <c r="A8" s="74" t="s">
        <v>1140</v>
      </c>
    </row>
    <row r="9" customFormat="false" ht="15" hidden="false" customHeight="false" outlineLevel="0" collapsed="false">
      <c r="A9" s="75" t="s">
        <v>1141</v>
      </c>
    </row>
    <row r="10" customFormat="false" ht="15" hidden="false" customHeight="false" outlineLevel="0" collapsed="false">
      <c r="A10" s="75" t="s">
        <v>1142</v>
      </c>
    </row>
    <row r="11" customFormat="false" ht="15" hidden="false" customHeight="false" outlineLevel="0" collapsed="false">
      <c r="A11" s="75" t="s">
        <v>1143</v>
      </c>
    </row>
    <row r="12" customFormat="false" ht="15" hidden="false" customHeight="false" outlineLevel="0" collapsed="false">
      <c r="A12" s="75" t="s">
        <v>1144</v>
      </c>
    </row>
    <row r="13" customFormat="false" ht="15" hidden="false" customHeight="false" outlineLevel="0" collapsed="false">
      <c r="A13" s="75" t="s">
        <v>1145</v>
      </c>
    </row>
    <row r="14" customFormat="false" ht="15" hidden="false" customHeight="false" outlineLevel="0" collapsed="false">
      <c r="A14" s="75" t="s">
        <v>1146</v>
      </c>
    </row>
    <row r="15" customFormat="false" ht="15" hidden="false" customHeight="false" outlineLevel="0" collapsed="false">
      <c r="A15" s="75"/>
    </row>
    <row r="16" customFormat="false" ht="15" hidden="false" customHeight="false" outlineLevel="0" collapsed="false">
      <c r="A16" s="75" t="s">
        <v>1147</v>
      </c>
    </row>
    <row r="17" customFormat="false" ht="15" hidden="false" customHeight="false" outlineLevel="0" collapsed="false">
      <c r="A17" s="75" t="s">
        <v>1148</v>
      </c>
    </row>
    <row r="18" customFormat="false" ht="15" hidden="false" customHeight="false" outlineLevel="0" collapsed="false">
      <c r="A18" s="75" t="s">
        <v>1149</v>
      </c>
    </row>
    <row r="19" customFormat="false" ht="15" hidden="false" customHeight="false" outlineLevel="0" collapsed="false">
      <c r="A19" s="75" t="s">
        <v>1150</v>
      </c>
    </row>
    <row r="20" customFormat="false" ht="15" hidden="false" customHeight="false" outlineLevel="0" collapsed="false">
      <c r="A20" s="75" t="s">
        <v>1151</v>
      </c>
    </row>
    <row r="21" customFormat="false" ht="15" hidden="false" customHeight="false" outlineLevel="0" collapsed="false">
      <c r="A21" s="75" t="s">
        <v>1152</v>
      </c>
    </row>
    <row r="22" customFormat="false" ht="15" hidden="false" customHeight="false" outlineLevel="0" collapsed="false">
      <c r="A22" s="75" t="s">
        <v>1153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2026-09-11T05:53:02Z</dcterms:created>
  <dc:creator>openpyxl</dc:creator>
  <dc:description/>
  <dc:language>en-US</dc:language>
  <cp:lastModifiedBy/>
  <dcterms:modified xsi:type="dcterms:W3CDTF">2026-09-11T05:53:04Z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